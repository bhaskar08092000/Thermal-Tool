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\"/>
    </mc:Choice>
  </mc:AlternateContent>
  <xr:revisionPtr revIDLastSave="0" documentId="13_ncr:1_{23F0786C-51DB-4B0F-A806-2F9E4830688F}" xr6:coauthVersionLast="47" xr6:coauthVersionMax="47" xr10:uidLastSave="{00000000-0000-0000-0000-000000000000}"/>
  <bookViews>
    <workbookView xWindow="-110" yWindow="-110" windowWidth="19420" windowHeight="10300" xr2:uid="{361E42A9-F982-4589-A7E2-47B21662F2D2}"/>
  </bookViews>
  <sheets>
    <sheet name="Sheet2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4" i="9" l="1"/>
  <c r="H184" i="9"/>
  <c r="F184" i="9"/>
  <c r="D184" i="9"/>
  <c r="J183" i="9"/>
  <c r="F183" i="9"/>
  <c r="J182" i="9"/>
  <c r="F182" i="9"/>
  <c r="J181" i="9"/>
  <c r="F181" i="9"/>
  <c r="J180" i="9"/>
  <c r="F180" i="9"/>
  <c r="J179" i="9"/>
  <c r="F179" i="9"/>
  <c r="J178" i="9"/>
  <c r="F178" i="9"/>
  <c r="J177" i="9"/>
  <c r="F177" i="9"/>
  <c r="J176" i="9"/>
  <c r="F176" i="9"/>
  <c r="J175" i="9"/>
  <c r="F175" i="9"/>
  <c r="J174" i="9"/>
  <c r="F174" i="9"/>
  <c r="J173" i="9"/>
  <c r="F173" i="9"/>
  <c r="J172" i="9"/>
  <c r="F172" i="9"/>
  <c r="J170" i="9"/>
  <c r="F170" i="9"/>
  <c r="J169" i="9"/>
  <c r="F169" i="9"/>
  <c r="J168" i="9"/>
  <c r="F168" i="9"/>
  <c r="J167" i="9"/>
  <c r="F167" i="9"/>
  <c r="J166" i="9"/>
  <c r="F166" i="9"/>
  <c r="J163" i="9"/>
  <c r="F163" i="9"/>
  <c r="J162" i="9"/>
  <c r="F162" i="9"/>
  <c r="J161" i="9"/>
  <c r="F161" i="9"/>
  <c r="J160" i="9"/>
  <c r="F160" i="9"/>
  <c r="J159" i="9"/>
  <c r="F159" i="9"/>
  <c r="J158" i="9"/>
  <c r="F158" i="9"/>
  <c r="J157" i="9"/>
  <c r="F157" i="9"/>
  <c r="J156" i="9"/>
  <c r="F156" i="9"/>
  <c r="J155" i="9"/>
  <c r="F155" i="9"/>
  <c r="J154" i="9"/>
  <c r="F154" i="9"/>
  <c r="J153" i="9" a="1"/>
  <c r="J153" i="9" s="1"/>
  <c r="J152" i="9"/>
  <c r="F152" i="9"/>
  <c r="J151" i="9"/>
  <c r="F151" i="9"/>
  <c r="J150" i="9"/>
  <c r="F150" i="9"/>
  <c r="J149" i="9"/>
  <c r="F149" i="9"/>
  <c r="J148" i="9"/>
  <c r="F148" i="9"/>
  <c r="J147" i="9"/>
  <c r="F147" i="9"/>
  <c r="J146" i="9"/>
  <c r="F146" i="9"/>
  <c r="J145" i="9"/>
  <c r="F145" i="9"/>
  <c r="J144" i="9"/>
  <c r="F144" i="9"/>
  <c r="J143" i="9" a="1"/>
  <c r="J143" i="9" s="1"/>
  <c r="J142" i="9"/>
  <c r="F142" i="9"/>
  <c r="J141" i="9" a="1"/>
  <c r="J141" i="9" s="1"/>
  <c r="J140" i="9" a="1"/>
  <c r="J140" i="9" s="1"/>
  <c r="J139" i="9" a="1"/>
  <c r="J139" i="9" s="1"/>
  <c r="J138" i="9"/>
  <c r="F138" i="9"/>
  <c r="J137" i="9"/>
  <c r="F137" i="9"/>
  <c r="J136" i="9"/>
  <c r="F136" i="9"/>
  <c r="J134" i="9"/>
  <c r="F134" i="9"/>
  <c r="J133" i="9"/>
  <c r="F133" i="9"/>
  <c r="J132" i="9"/>
  <c r="F132" i="9"/>
  <c r="J131" i="9"/>
  <c r="F131" i="9"/>
  <c r="J130" i="9" a="1"/>
  <c r="J130" i="9" s="1"/>
  <c r="J129" i="9" a="1"/>
  <c r="J129" i="9" s="1"/>
  <c r="J128" i="9" a="1"/>
  <c r="J128" i="9" s="1"/>
  <c r="J127" i="9"/>
  <c r="F127" i="9"/>
  <c r="J126" i="9"/>
  <c r="F126" i="9"/>
  <c r="J125" i="9"/>
  <c r="F125" i="9"/>
  <c r="J124" i="9"/>
  <c r="F124" i="9"/>
  <c r="J123" i="9"/>
  <c r="F123" i="9"/>
  <c r="J122" i="9"/>
  <c r="F122" i="9"/>
  <c r="J121" i="9" a="1"/>
  <c r="J121" i="9" s="1"/>
  <c r="J120" i="9" a="1"/>
  <c r="J120" i="9" s="1"/>
  <c r="J119" i="9" a="1"/>
  <c r="J119" i="9" s="1"/>
  <c r="F119" i="9" a="1"/>
  <c r="F119" i="9" s="1"/>
  <c r="J118" i="9"/>
  <c r="F118" i="9"/>
  <c r="J117" i="9"/>
  <c r="F117" i="9"/>
  <c r="J116" i="9"/>
  <c r="F116" i="9"/>
  <c r="H115" i="9"/>
  <c r="J115" i="9" s="1"/>
  <c r="D115" i="9"/>
  <c r="F115" i="9" s="1"/>
  <c r="J114" i="9"/>
  <c r="F114" i="9"/>
  <c r="J113" i="9"/>
  <c r="F113" i="9"/>
  <c r="J112" i="9"/>
  <c r="F112" i="9"/>
  <c r="J111" i="9"/>
  <c r="F111" i="9"/>
  <c r="J110" i="9"/>
  <c r="F110" i="9"/>
  <c r="J109" i="9"/>
  <c r="F109" i="9"/>
  <c r="J107" i="9"/>
  <c r="F107" i="9"/>
  <c r="J106" i="9" a="1"/>
  <c r="J106" i="9" s="1"/>
  <c r="J105" i="9" a="1"/>
  <c r="J105" i="9" s="1"/>
  <c r="J104" i="9"/>
  <c r="F104" i="9"/>
  <c r="J103" i="9" a="1"/>
  <c r="J103" i="9" s="1"/>
  <c r="J102" i="9"/>
  <c r="F102" i="9"/>
  <c r="J101" i="9"/>
  <c r="F101" i="9"/>
  <c r="J100" i="9" a="1"/>
  <c r="J100" i="9" s="1"/>
  <c r="J99" i="9"/>
  <c r="F99" i="9"/>
  <c r="J98" i="9" a="1"/>
  <c r="J98" i="9" s="1"/>
  <c r="J97" i="9"/>
  <c r="F97" i="9"/>
  <c r="J96" i="9"/>
  <c r="F96" i="9"/>
  <c r="J95" i="9"/>
  <c r="F95" i="9"/>
  <c r="J94" i="9"/>
  <c r="F94" i="9"/>
  <c r="J93" i="9"/>
  <c r="F93" i="9"/>
  <c r="J92" i="9"/>
  <c r="F92" i="9"/>
  <c r="J91" i="9"/>
  <c r="F91" i="9"/>
  <c r="J90" i="9"/>
  <c r="F90" i="9"/>
  <c r="J89" i="9"/>
  <c r="F89" i="9"/>
  <c r="J88" i="9" a="1"/>
  <c r="J88" i="9" s="1"/>
  <c r="J86" i="9" a="1"/>
  <c r="J86" i="9" s="1"/>
  <c r="J85" i="9" a="1"/>
  <c r="J85" i="9" s="1"/>
  <c r="J84" i="9" a="1"/>
  <c r="J84" i="9" s="1"/>
  <c r="J83" i="9"/>
  <c r="F83" i="9"/>
  <c r="J82" i="9"/>
  <c r="F82" i="9"/>
  <c r="J81" i="9"/>
  <c r="F81" i="9"/>
  <c r="J80" i="9"/>
  <c r="F80" i="9"/>
  <c r="J79" i="9"/>
  <c r="F79" i="9"/>
  <c r="J78" i="9" a="1"/>
  <c r="J78" i="9" s="1"/>
  <c r="J77" i="9" a="1"/>
  <c r="J77" i="9" s="1"/>
  <c r="J76" i="9" a="1"/>
  <c r="J76" i="9" s="1"/>
  <c r="J75" i="9" a="1"/>
  <c r="J75" i="9" s="1"/>
  <c r="J74" i="9" a="1"/>
  <c r="J74" i="9" s="1"/>
  <c r="J73" i="9" a="1"/>
  <c r="J73" i="9" s="1"/>
  <c r="J72" i="9"/>
  <c r="F72" i="9"/>
  <c r="J71" i="9"/>
  <c r="F71" i="9"/>
  <c r="J70" i="9"/>
  <c r="F70" i="9"/>
  <c r="J69" i="9"/>
  <c r="F69" i="9"/>
  <c r="J67" i="9"/>
  <c r="F67" i="9"/>
  <c r="J66" i="9"/>
  <c r="F66" i="9"/>
  <c r="J65" i="9"/>
  <c r="F65" i="9"/>
  <c r="J64" i="9"/>
  <c r="F64" i="9"/>
  <c r="J63" i="9"/>
  <c r="F63" i="9"/>
  <c r="J62" i="9"/>
  <c r="F62" i="9"/>
  <c r="J61" i="9" a="1"/>
  <c r="J61" i="9" s="1"/>
  <c r="J60" i="9"/>
  <c r="F60" i="9"/>
  <c r="J59" i="9" a="1"/>
  <c r="J59" i="9" s="1"/>
  <c r="F59" i="9" a="1"/>
  <c r="F59" i="9" s="1"/>
  <c r="J58" i="9"/>
  <c r="F58" i="9"/>
  <c r="J57" i="9" a="1"/>
  <c r="J57" i="9" s="1"/>
  <c r="J56" i="9"/>
  <c r="F56" i="9"/>
  <c r="J55" i="9"/>
  <c r="F55" i="9"/>
  <c r="J54" i="9" a="1"/>
  <c r="J54" i="9" s="1"/>
  <c r="J53" i="9"/>
  <c r="F53" i="9"/>
  <c r="J52" i="9"/>
  <c r="F52" i="9"/>
  <c r="J51" i="9" a="1"/>
  <c r="J51" i="9" s="1"/>
  <c r="J50" i="9"/>
  <c r="F50" i="9"/>
  <c r="J49" i="9" a="1"/>
  <c r="J49" i="9" s="1"/>
  <c r="J48" i="9"/>
  <c r="F48" i="9"/>
  <c r="J47" i="9"/>
  <c r="F47" i="9"/>
  <c r="J46" i="9" a="1"/>
  <c r="J46" i="9" s="1"/>
  <c r="F46" i="9" a="1"/>
  <c r="F46" i="9" s="1"/>
  <c r="J45" i="9"/>
  <c r="F45" i="9"/>
  <c r="J44" i="9" a="1"/>
  <c r="J44" i="9" s="1"/>
  <c r="J43" i="9"/>
  <c r="F43" i="9"/>
  <c r="J42" i="9"/>
  <c r="F42" i="9"/>
  <c r="J41" i="9" a="1"/>
  <c r="J41" i="9" s="1"/>
  <c r="J40" i="9"/>
  <c r="F40" i="9"/>
  <c r="J39" i="9" a="1"/>
  <c r="J39" i="9" s="1"/>
  <c r="J38" i="9"/>
  <c r="F38" i="9"/>
  <c r="J37" i="9" a="1"/>
  <c r="J37" i="9" s="1"/>
  <c r="J35" i="9"/>
  <c r="F35" i="9"/>
  <c r="J34" i="9" a="1"/>
  <c r="J34" i="9" s="1"/>
  <c r="J33" i="9"/>
  <c r="F33" i="9"/>
  <c r="J32" i="9" a="1"/>
  <c r="J32" i="9" s="1"/>
  <c r="J31" i="9"/>
  <c r="F31" i="9"/>
  <c r="J30" i="9"/>
  <c r="F30" i="9"/>
  <c r="J29" i="9"/>
  <c r="F29" i="9"/>
  <c r="J28" i="9"/>
  <c r="F28" i="9"/>
  <c r="J26" i="9"/>
  <c r="F26" i="9"/>
  <c r="J25" i="9"/>
  <c r="J24" i="9"/>
  <c r="F24" i="9"/>
  <c r="J23" i="9"/>
  <c r="F23" i="9"/>
  <c r="J22" i="9"/>
  <c r="F22" i="9"/>
  <c r="J21" i="9"/>
  <c r="F21" i="9"/>
  <c r="J20" i="9" a="1"/>
  <c r="J20" i="9" s="1"/>
  <c r="F20" i="9" a="1"/>
  <c r="F20" i="9" s="1"/>
  <c r="J18" i="9"/>
  <c r="F18" i="9"/>
  <c r="J17" i="9" a="1"/>
  <c r="J17" i="9" s="1"/>
  <c r="J16" i="9"/>
  <c r="F16" i="9"/>
  <c r="J15" i="9" a="1"/>
  <c r="J15" i="9" s="1"/>
  <c r="F15" i="9" a="1"/>
  <c r="F15" i="9" s="1"/>
  <c r="J14" i="9" a="1"/>
  <c r="J14" i="9" s="1"/>
  <c r="J12" i="9"/>
  <c r="F12" i="9"/>
  <c r="J11" i="9"/>
  <c r="F11" i="9"/>
  <c r="J10" i="9" a="1"/>
  <c r="J10" i="9" s="1"/>
  <c r="J9" i="9" a="1"/>
  <c r="J9" i="9" s="1"/>
  <c r="J8" i="9"/>
  <c r="F8" i="9"/>
  <c r="J7" i="9" a="1"/>
  <c r="J7" i="9" s="1"/>
  <c r="F5" i="9"/>
  <c r="F4" i="9"/>
  <c r="F3" i="9"/>
  <c r="F153" i="9" s="1" a="1"/>
  <c r="F153" i="9" s="1"/>
  <c r="F2" i="9"/>
  <c r="F120" i="9" l="1" a="1"/>
  <c r="F120" i="9" s="1"/>
  <c r="F61" i="9" a="1"/>
  <c r="F61" i="9" s="1"/>
  <c r="F74" i="9" a="1"/>
  <c r="F74" i="9" s="1"/>
  <c r="F141" i="9" a="1"/>
  <c r="F141" i="9" s="1"/>
  <c r="F49" i="9" a="1"/>
  <c r="F49" i="9" s="1"/>
  <c r="F103" i="9" a="1"/>
  <c r="F103" i="9" s="1"/>
  <c r="F128" i="9" a="1"/>
  <c r="F128" i="9" s="1"/>
  <c r="F10" i="9" a="1"/>
  <c r="F10" i="9" s="1"/>
  <c r="F17" i="9" a="1"/>
  <c r="F17" i="9" s="1"/>
  <c r="F44" i="9" a="1"/>
  <c r="F44" i="9" s="1"/>
  <c r="F76" i="9" a="1"/>
  <c r="F76" i="9" s="1"/>
  <c r="F57" i="9" a="1"/>
  <c r="F57" i="9" s="1"/>
  <c r="F143" i="9" a="1"/>
  <c r="F143" i="9" s="1"/>
  <c r="F9" i="9" a="1"/>
  <c r="F9" i="9" s="1"/>
  <c r="F37" i="9" a="1"/>
  <c r="F37" i="9" s="1"/>
  <c r="F25" i="9"/>
  <c r="F32" i="9" a="1"/>
  <c r="F32" i="9" s="1"/>
  <c r="F39" i="9" a="1"/>
  <c r="F39" i="9" s="1"/>
  <c r="F77" i="9" a="1"/>
  <c r="F77" i="9" s="1"/>
  <c r="F129" i="9" a="1"/>
  <c r="F129" i="9" s="1"/>
  <c r="F84" i="9" a="1"/>
  <c r="F84" i="9" s="1"/>
  <c r="F105" i="9" a="1"/>
  <c r="F105" i="9" s="1"/>
  <c r="F7" i="9" a="1"/>
  <c r="F7" i="9" s="1"/>
  <c r="F14" i="9" a="1"/>
  <c r="F14" i="9" s="1"/>
  <c r="F34" i="9" a="1"/>
  <c r="F34" i="9" s="1"/>
  <c r="F41" i="9" a="1"/>
  <c r="F41" i="9" s="1"/>
  <c r="F54" i="9" a="1"/>
  <c r="F54" i="9" s="1"/>
  <c r="F73" i="9" a="1"/>
  <c r="F73" i="9" s="1"/>
  <c r="F88" i="9" a="1"/>
  <c r="F88" i="9" s="1"/>
  <c r="F86" i="9" a="1"/>
  <c r="F86" i="9" s="1"/>
  <c r="F140" i="9" a="1"/>
  <c r="F140" i="9" s="1"/>
  <c r="F51" i="9" a="1"/>
  <c r="F51" i="9" s="1"/>
  <c r="F75" i="9" a="1"/>
  <c r="F75" i="9" s="1"/>
  <c r="F78" i="9" a="1"/>
  <c r="F78" i="9" s="1"/>
  <c r="F98" i="9" a="1"/>
  <c r="F98" i="9" s="1"/>
  <c r="F106" i="9" a="1"/>
  <c r="F106" i="9" s="1"/>
  <c r="F121" i="9" a="1"/>
  <c r="F121" i="9" s="1"/>
  <c r="F130" i="9" a="1"/>
  <c r="F130" i="9" s="1"/>
  <c r="F85" i="9" a="1"/>
  <c r="F85" i="9" s="1"/>
  <c r="F100" i="9" a="1"/>
  <c r="F100" i="9" s="1"/>
  <c r="F139" i="9" a="1"/>
  <c r="F139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<sst xmlns="http://schemas.openxmlformats.org/spreadsheetml/2006/main" count="901" uniqueCount="213">
  <si>
    <t>PARAMETERS</t>
  </si>
  <si>
    <t>UoM</t>
  </si>
  <si>
    <t>DESIGN</t>
  </si>
  <si>
    <t>LOAD</t>
  </si>
  <si>
    <t>MW</t>
  </si>
  <si>
    <t>MS</t>
  </si>
  <si>
    <t>1ST STAGE PRESS</t>
  </si>
  <si>
    <t>MS FLOW</t>
  </si>
  <si>
    <t>TPH</t>
  </si>
  <si>
    <t>MS PRESSURE AT TURBINE I/L</t>
  </si>
  <si>
    <t>MS PRESSURE AT BOILER O/L</t>
  </si>
  <si>
    <t>MS TEMP AT TV1</t>
  </si>
  <si>
    <t>MS TEMP AT TV2</t>
  </si>
  <si>
    <t>CRH</t>
  </si>
  <si>
    <t>HP EXH PRESS</t>
  </si>
  <si>
    <t>CRH PRESSURE</t>
  </si>
  <si>
    <t>CRH TEMP</t>
  </si>
  <si>
    <t>AFTER HPBP PRESS</t>
  </si>
  <si>
    <t>AFTER HPBP TEMP</t>
  </si>
  <si>
    <t>HRH</t>
  </si>
  <si>
    <t>HRH PRESSURE</t>
  </si>
  <si>
    <t>HRH TEMP</t>
  </si>
  <si>
    <t>IP I/L LH TEMP</t>
  </si>
  <si>
    <t>IP I/L RH TEMP</t>
  </si>
  <si>
    <t>FEED WATER FLOW</t>
  </si>
  <si>
    <t>CONDENSOR VACUUM (DCS)</t>
  </si>
  <si>
    <t xml:space="preserve">CONDENSATE FLOW </t>
  </si>
  <si>
    <t>DESUPERHEATING</t>
  </si>
  <si>
    <t>RH LHS DESUP FLOW</t>
  </si>
  <si>
    <t>RH RHS DESUP FLOW</t>
  </si>
  <si>
    <t>1ST STAGE SHS DESUP FLOW</t>
  </si>
  <si>
    <t>2ND STAGE SHS DESUP FLOW</t>
  </si>
  <si>
    <t>SH SPRAY WATER PRESSURE</t>
  </si>
  <si>
    <t>SH SPRAY WATER TEMP</t>
  </si>
  <si>
    <t>RH SPRAY WATER PRESSURE</t>
  </si>
  <si>
    <t>RH SPRAY WATER TEMP</t>
  </si>
  <si>
    <t>HPH</t>
  </si>
  <si>
    <t>HPH-6 FW I/L PRESSURE</t>
  </si>
  <si>
    <t>HPH-6 FW I/L TEMP</t>
  </si>
  <si>
    <t>HPH-6 FW O/L PRESSURE</t>
  </si>
  <si>
    <t>HPH-6 FW O/L TEMP</t>
  </si>
  <si>
    <t>HPH-6 EXT PRESSURE</t>
  </si>
  <si>
    <t>HPH-6 EXT TEMP</t>
  </si>
  <si>
    <t>HPH-6 DRIP TEMP</t>
  </si>
  <si>
    <t>HPH-7 FW O/L PRESSURE</t>
  </si>
  <si>
    <t>HPH-7 FW O/L TEMP</t>
  </si>
  <si>
    <t>HPH-7 EXT PRESSURE</t>
  </si>
  <si>
    <t>HPH-7 EXT TEMP</t>
  </si>
  <si>
    <t>HPH-7 DRIP TEMP</t>
  </si>
  <si>
    <t>HPH-8 FW O/L PRESSURE</t>
  </si>
  <si>
    <t>HPH-8 FW O/L TEMP</t>
  </si>
  <si>
    <t>HPH-8 EXT PRESSURE</t>
  </si>
  <si>
    <t>HPH-8 EXT TEMP</t>
  </si>
  <si>
    <t>HPH-8 DRIP TEMP</t>
  </si>
  <si>
    <t>°C</t>
  </si>
  <si>
    <t>ECO I/L PRESS</t>
  </si>
  <si>
    <t>ECO I/L TEMP-1</t>
  </si>
  <si>
    <t>ECO I/L TEMP-2</t>
  </si>
  <si>
    <t>DEA I/L COND PRESSURE</t>
  </si>
  <si>
    <t>DEA I/L COND TEMP</t>
  </si>
  <si>
    <t>DEA EXT STEAM PRESSURE</t>
  </si>
  <si>
    <t>DEA EXT STEAM TEMP</t>
  </si>
  <si>
    <t>DEAERATOR PRESSURE</t>
  </si>
  <si>
    <t>DEAERATOR TEMP</t>
  </si>
  <si>
    <t>HW LEVEL</t>
  </si>
  <si>
    <t>mm</t>
  </si>
  <si>
    <t>DEA LEVEL</t>
  </si>
  <si>
    <t>#6 EXT STEAM FLOW RATE</t>
  </si>
  <si>
    <t>#7 EXT STEAM FLOW RATE</t>
  </si>
  <si>
    <t>#8 EXT STEAM FLOW RATE</t>
  </si>
  <si>
    <t>COOLING WATER SYSTEM</t>
  </si>
  <si>
    <t>COND I/L WATER TEMP- PASS A</t>
  </si>
  <si>
    <t>COND O/L WATER TEMP- PASS A</t>
  </si>
  <si>
    <t>COND I/L WATER TEMP- PASS B</t>
  </si>
  <si>
    <t>COND O/L WATER TEMP- PASS B</t>
  </si>
  <si>
    <t>COND I/L WATER PRESSURE- PASS A</t>
  </si>
  <si>
    <t>COND O/L WATER PRESSURE- PASS A</t>
  </si>
  <si>
    <t>COND I/L WATER PRESSURE- PASS B</t>
  </si>
  <si>
    <t>COND O/L WATER PRESSURE- PASS B</t>
  </si>
  <si>
    <t>CONDENSATE LHS WATER BOX  DP</t>
  </si>
  <si>
    <t>CONDENSATE RHS WATER BOX DP</t>
  </si>
  <si>
    <t>LP EXHAUST HOOD (GOV) STEAM TEMP</t>
  </si>
  <si>
    <t>LP EXHAUST HOOD (GEN) STEAM TEMP</t>
  </si>
  <si>
    <t>CW-A CURRNT</t>
  </si>
  <si>
    <t>Amps</t>
  </si>
  <si>
    <t>CW-B CURRNT</t>
  </si>
  <si>
    <t>CW-C CURRENT</t>
  </si>
  <si>
    <t>CWP-A DISCH PRESS</t>
  </si>
  <si>
    <t>CWP-B DISCH PRESS</t>
  </si>
  <si>
    <t>CWP-C DISCH PRESS</t>
  </si>
  <si>
    <t>LPH</t>
  </si>
  <si>
    <t>CONDENSATE PRESS AFTER CV</t>
  </si>
  <si>
    <t>LPH-1 I/L WATER TEMP</t>
  </si>
  <si>
    <t>LPH-1 O/L WATER TEMP</t>
  </si>
  <si>
    <t>LPH-2 O/L WATER TEMP</t>
  </si>
  <si>
    <t>LPH-3 O/L WATER TEMP</t>
  </si>
  <si>
    <t>LPH-4 O/L WATER TEMP</t>
  </si>
  <si>
    <t>LPH-1 DRAIN TEMP</t>
  </si>
  <si>
    <t>LPH-2 DARIN TEMP</t>
  </si>
  <si>
    <t>LPH-3 DRAIN TEMP</t>
  </si>
  <si>
    <t>LPH-4 DRAIN TEMP</t>
  </si>
  <si>
    <t>EXT-4  STEAM PRESS.</t>
  </si>
  <si>
    <t>EXT-4 STEAM TEMP</t>
  </si>
  <si>
    <t>EXT-3 STEAM PRESS.</t>
  </si>
  <si>
    <t>EXT-3 STAEM TEMP</t>
  </si>
  <si>
    <t>LPH-2 I/L STEAM TEMP</t>
  </si>
  <si>
    <t>LPH-2 I/L STEAM PRESS</t>
  </si>
  <si>
    <t>LPH-1 I/L STEAM TEMP</t>
  </si>
  <si>
    <t>LPH-1 I/L STEAM PRESS</t>
  </si>
  <si>
    <t>IP EXHAUST PRESSURE</t>
  </si>
  <si>
    <t>IP EXHAUST STEAM TEMP</t>
  </si>
  <si>
    <t>FEED WATER PUMPS</t>
  </si>
  <si>
    <t>BFP-A CURRENT</t>
  </si>
  <si>
    <t>BFP-B CURRENT</t>
  </si>
  <si>
    <t>BFP-C CURRENT</t>
  </si>
  <si>
    <t>BFP-A I/L FW TEMP</t>
  </si>
  <si>
    <t>BFP-B I/L FW TEMP</t>
  </si>
  <si>
    <t>BFP-C I/L FW TEMP</t>
  </si>
  <si>
    <t>BFP-A FEEDWATER FLOW</t>
  </si>
  <si>
    <t>BFP-B FEEDWATER FLOW</t>
  </si>
  <si>
    <t>BFP-C FEEDWATER FLOW</t>
  </si>
  <si>
    <t>BFP-A SUCTION PRESS</t>
  </si>
  <si>
    <t>BFP-B SUCTION PRESS</t>
  </si>
  <si>
    <t>BFP-C SUCTION PRESS</t>
  </si>
  <si>
    <t>BFP-A SCOOP POSITION</t>
  </si>
  <si>
    <t>%</t>
  </si>
  <si>
    <t>BFP-B SCOOP POSITION</t>
  </si>
  <si>
    <t>BFP-C SCOOP POSITION</t>
  </si>
  <si>
    <t>BFP-A SPEED</t>
  </si>
  <si>
    <t>RPM</t>
  </si>
  <si>
    <t>BFP-B SPEED</t>
  </si>
  <si>
    <t>BFP-C SPEED</t>
  </si>
  <si>
    <t>BFP-A DISCHARGE PRESS</t>
  </si>
  <si>
    <t>BFP-B DISCHARGE PRESS</t>
  </si>
  <si>
    <t>BFP-C DISCHARGE PRESS</t>
  </si>
  <si>
    <t>BFP-A DISCHARGE TEMP</t>
  </si>
  <si>
    <t>BFP-B DISCHARGE TEMP</t>
  </si>
  <si>
    <t>BFP-C DISCHARGE TEMP</t>
  </si>
  <si>
    <t>TOTAL FEED WATER FLOW</t>
  </si>
  <si>
    <t>CONDENSATE EXTRACTION PUMPS</t>
  </si>
  <si>
    <t>CEP-A CURRENT</t>
  </si>
  <si>
    <t>CEP-B CURRENT</t>
  </si>
  <si>
    <t>CEP I/L TEMP</t>
  </si>
  <si>
    <t>CEP I/L PRESSURE</t>
  </si>
  <si>
    <t>CEP-A DISCHARGE PRESS</t>
  </si>
  <si>
    <t>CEP-B DISCHARGE PRESS</t>
  </si>
  <si>
    <t>CEP O/L TEMP (GSC I/L)</t>
  </si>
  <si>
    <t>CEP O/L PRESSURE</t>
  </si>
  <si>
    <t>CEP CONDENSATE FLOW</t>
  </si>
  <si>
    <t>CEP RECIRCULATION FLOW</t>
  </si>
  <si>
    <t>CCW-A CURRENT</t>
  </si>
  <si>
    <t>CCW-B CURRENT</t>
  </si>
  <si>
    <t>CCW-C CURRENT</t>
  </si>
  <si>
    <t>VACUUM PUMP-A CURRENT</t>
  </si>
  <si>
    <t>VACUUM PUMP-B CURRENT</t>
  </si>
  <si>
    <t>COND FLOW-1</t>
  </si>
  <si>
    <t>COND FLOW-2</t>
  </si>
  <si>
    <t>HRH PRESS AT IP I/L</t>
  </si>
  <si>
    <t>FIRST STAGE STM TEMP</t>
  </si>
  <si>
    <t>FIRST STAGE METAL TEMP</t>
  </si>
  <si>
    <t>GV1 POS</t>
  </si>
  <si>
    <t>GV2 POS</t>
  </si>
  <si>
    <t>GV3 POS</t>
  </si>
  <si>
    <t>GV4 POS</t>
  </si>
  <si>
    <t>AUX GLAND STM PCV POS</t>
  </si>
  <si>
    <t>GLAND STM OVERFLOW VALVE POS</t>
  </si>
  <si>
    <t>GLAND STM SPRAY VALVE POS</t>
  </si>
  <si>
    <t>D/A CONTROL STATION VALVE OPENING</t>
  </si>
  <si>
    <t>UU-ACCOUNTED LOSSESS</t>
  </si>
  <si>
    <t>Test duration</t>
  </si>
  <si>
    <t>hours</t>
  </si>
  <si>
    <t>Hotwell storage change</t>
  </si>
  <si>
    <t>Deaerator storage change</t>
  </si>
  <si>
    <t>Inadvertant make-up</t>
  </si>
  <si>
    <t>CT FANS</t>
  </si>
  <si>
    <t>CT FAN-1 CURRENT</t>
  </si>
  <si>
    <t>CT FAN-2 CURRENT</t>
  </si>
  <si>
    <t>CT FAN-3 CURRENT</t>
  </si>
  <si>
    <t>CT FAN-4 CURRENT</t>
  </si>
  <si>
    <t>CT FAN-5 CURRENT</t>
  </si>
  <si>
    <t>CT FAN-6 CURRENT</t>
  </si>
  <si>
    <t>CT FAN-7 CURRENT</t>
  </si>
  <si>
    <t>CT FAN-8 CURRENT</t>
  </si>
  <si>
    <t>CT FAN-9 CURRENT</t>
  </si>
  <si>
    <t>CT FAN-10 CURRENT</t>
  </si>
  <si>
    <t>CT FAN-11 CURRENT</t>
  </si>
  <si>
    <t>CT FAN-12 CURRENT</t>
  </si>
  <si>
    <t>BFP I/L FW TEMP</t>
  </si>
  <si>
    <t>OPERATING</t>
  </si>
  <si>
    <t>S. No.</t>
  </si>
  <si>
    <t>Values (D)</t>
  </si>
  <si>
    <t>VALUES (O)</t>
  </si>
  <si>
    <t>AMBIENT PRESSURE</t>
  </si>
  <si>
    <t>bar (a)</t>
  </si>
  <si>
    <t>bar</t>
  </si>
  <si>
    <t>AMBIENT TEMPERATURE</t>
  </si>
  <si>
    <t>RELATIVE HUMIDITY</t>
  </si>
  <si>
    <t>MPa (a)</t>
  </si>
  <si>
    <t>MPa (g)</t>
  </si>
  <si>
    <t>kg/h</t>
  </si>
  <si>
    <t>bar(a)</t>
  </si>
  <si>
    <t>bar (g)</t>
  </si>
  <si>
    <t>kPa (a)</t>
  </si>
  <si>
    <t>kPa (g)</t>
  </si>
  <si>
    <t>Unaccounted-loss</t>
  </si>
  <si>
    <t>Feedwater pump outboard leakage</t>
  </si>
  <si>
    <t>LP EXHAUST DRYNESS FRACTION</t>
  </si>
  <si>
    <t>Aging month/s, after overhaul</t>
  </si>
  <si>
    <t>months</t>
  </si>
  <si>
    <t>-</t>
  </si>
  <si>
    <t>Aging Factor</t>
  </si>
  <si>
    <t>RH Pressure drop</t>
  </si>
  <si>
    <t>Make up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</si>
</sst>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theme="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1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BAA2F2CD-FA60-447D-ABE0-861F48311392}"/>
    <cellStyle name="Normal 3" xfId="2" xr:uid="{EF989F05-E98B-4674-A642-9C2D5FB3E2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1BA-2125-4ADA-A7A9-788C28DDF8A9}">
  <dimension ref="A1:J189"/>
  <sheetViews>
    <sheetView tabSelected="1" topLeftCell="A82" workbookViewId="0">
      <selection activeCell="H94" sqref="H94"/>
    </sheetView>
  </sheetViews>
  <sheetFormatPr defaultRowHeight="14.5" x14ac:dyDescent="0.35"/>
  <cols>
    <col min="2" max="2" width="28.90625" customWidth="1"/>
    <col min="10" max="10" width="37.7265625" customWidth="1"/>
  </cols>
  <sheetData>
    <row r="1" spans="1:10" x14ac:dyDescent="0.35">
      <c r="A1" s="3" t="s">
        <v>189</v>
      </c>
      <c r="B1" s="3" t="s">
        <v>0</v>
      </c>
      <c r="C1" s="4" t="s">
        <v>1</v>
      </c>
      <c r="D1" s="5" t="s">
        <v>2</v>
      </c>
      <c r="E1" s="6" t="s">
        <v>1</v>
      </c>
      <c r="F1" s="7" t="s">
        <v>190</v>
      </c>
      <c r="G1" s="4" t="s">
        <v>1</v>
      </c>
      <c r="H1" s="5" t="s">
        <v>188</v>
      </c>
      <c r="I1" s="4" t="s">
        <v>1</v>
      </c>
      <c r="J1" s="7" t="s">
        <v>191</v>
      </c>
    </row>
    <row r="2" spans="1:10" x14ac:dyDescent="0.35">
      <c r="A2" s="8">
        <v>1</v>
      </c>
      <c r="B2" s="9" t="s">
        <v>3</v>
      </c>
      <c r="C2" s="8" t="s">
        <v>4</v>
      </c>
      <c r="D2" s="1">
        <v>300</v>
      </c>
      <c r="E2" s="8" t="s">
        <v>4</v>
      </c>
      <c r="F2" s="1">
        <f>D2</f>
        <v>300</v>
      </c>
      <c r="G2" s="8" t="s">
        <v>4</v>
      </c>
      <c r="H2" s="1">
        <v>299.5</v>
      </c>
      <c r="I2" s="8" t="s">
        <v>4</v>
      </c>
      <c r="J2" s="1">
        <v>299.5</v>
      </c>
    </row>
    <row r="3" spans="1:10" x14ac:dyDescent="0.35">
      <c r="A3" s="8">
        <v>2</v>
      </c>
      <c r="B3" s="9" t="s">
        <v>192</v>
      </c>
      <c r="C3" s="1" t="s">
        <v>193</v>
      </c>
      <c r="D3" s="8">
        <v>1.0129999999999999</v>
      </c>
      <c r="E3" s="8" t="s">
        <v>193</v>
      </c>
      <c r="F3" s="1">
        <f t="shared" ref="F3:F5" si="0">D3</f>
        <v>1.0129999999999999</v>
      </c>
      <c r="G3" s="8" t="s">
        <v>194</v>
      </c>
      <c r="H3" s="8">
        <v>1.0129999999999999</v>
      </c>
      <c r="I3" s="8" t="s">
        <v>193</v>
      </c>
      <c r="J3" s="8">
        <v>1.0129999999999999</v>
      </c>
    </row>
    <row r="4" spans="1:10" x14ac:dyDescent="0.35">
      <c r="A4" s="8">
        <v>3</v>
      </c>
      <c r="B4" s="9" t="s">
        <v>195</v>
      </c>
      <c r="C4" s="8" t="s">
        <v>54</v>
      </c>
      <c r="D4" s="8">
        <v>27.5</v>
      </c>
      <c r="E4" s="8" t="s">
        <v>54</v>
      </c>
      <c r="F4" s="1">
        <f t="shared" si="0"/>
        <v>27.5</v>
      </c>
      <c r="G4" s="8" t="s">
        <v>54</v>
      </c>
      <c r="H4" s="8">
        <v>27.5</v>
      </c>
      <c r="I4" s="8" t="s">
        <v>54</v>
      </c>
      <c r="J4" s="8">
        <v>27.5</v>
      </c>
    </row>
    <row r="5" spans="1:10" x14ac:dyDescent="0.35">
      <c r="A5" s="8">
        <v>4</v>
      </c>
      <c r="B5" s="9" t="s">
        <v>196</v>
      </c>
      <c r="C5" s="8" t="s">
        <v>125</v>
      </c>
      <c r="D5" s="8">
        <v>60</v>
      </c>
      <c r="E5" s="8" t="s">
        <v>125</v>
      </c>
      <c r="F5" s="1">
        <f t="shared" si="0"/>
        <v>60</v>
      </c>
      <c r="G5" s="8" t="s">
        <v>125</v>
      </c>
      <c r="H5" s="8">
        <v>60</v>
      </c>
      <c r="I5" s="8" t="s">
        <v>125</v>
      </c>
      <c r="J5" s="8">
        <v>60</v>
      </c>
    </row>
    <row r="6" spans="1:10" x14ac:dyDescent="0.35">
      <c r="A6" s="8"/>
      <c r="B6" s="10" t="s">
        <v>5</v>
      </c>
      <c r="C6" s="8"/>
      <c r="D6" s="1"/>
      <c r="E6" s="8"/>
      <c r="F6" s="1"/>
      <c r="G6" s="8"/>
      <c r="H6" s="1"/>
      <c r="I6" s="8"/>
      <c r="J6" s="11"/>
    </row>
    <row r="7" spans="1:10" x14ac:dyDescent="0.35">
      <c r="A7" s="8">
        <v>5</v>
      </c>
      <c r="B7" s="9" t="s">
        <v>6</v>
      </c>
      <c r="C7" s="8" t="s">
        <v>197</v>
      </c>
      <c r="D7" s="1">
        <v>11.94</v>
      </c>
      <c r="E7" s="8" t="s">
        <v>193</v>
      </c>
      <c r="F7" s="1" cm="1">
        <f t="array" ref="F7">_xlfn.IFS(C7="MPa (a)", D7*10,C7="MPa (g)",D7*10+$F$3,C7="bar(a)",D7, C7="bar (g)",D7+$F$3)</f>
        <v>119.39999999999999</v>
      </c>
      <c r="G7" s="8" t="s">
        <v>198</v>
      </c>
      <c r="H7" s="1">
        <v>11.94</v>
      </c>
      <c r="I7" s="8" t="s">
        <v>193</v>
      </c>
      <c r="J7" s="1" cm="1">
        <f t="array" ref="J7">_xlfn.IFS(G7="MPa (a)", H7*10,G7="MPa (g)",H7*10+$J$3,G7="bar(a)",H7, G7="bar (g)",H7+$J$3)</f>
        <v>120.413</v>
      </c>
    </row>
    <row r="8" spans="1:10" x14ac:dyDescent="0.35">
      <c r="A8" s="8">
        <v>6</v>
      </c>
      <c r="B8" s="9" t="s">
        <v>7</v>
      </c>
      <c r="C8" s="8" t="s">
        <v>8</v>
      </c>
      <c r="D8" s="1">
        <v>913.62400000000002</v>
      </c>
      <c r="E8" s="8" t="s">
        <v>199</v>
      </c>
      <c r="F8" s="1">
        <f>D8*1000</f>
        <v>913624</v>
      </c>
      <c r="G8" s="8" t="s">
        <v>8</v>
      </c>
      <c r="H8" s="1">
        <v>906.2</v>
      </c>
      <c r="I8" s="8" t="s">
        <v>199</v>
      </c>
      <c r="J8" s="1">
        <f>H8*1000</f>
        <v>906200</v>
      </c>
    </row>
    <row r="9" spans="1:10" x14ac:dyDescent="0.35">
      <c r="A9" s="8">
        <v>7</v>
      </c>
      <c r="B9" s="9" t="s">
        <v>9</v>
      </c>
      <c r="C9" s="8" t="s">
        <v>197</v>
      </c>
      <c r="D9" s="1">
        <v>16.670000000000002</v>
      </c>
      <c r="E9" s="8" t="s">
        <v>193</v>
      </c>
      <c r="F9" s="1" cm="1">
        <f t="array" ref="F9">_xlfn.IFS(C9="MPa (a)", D9*10,C9="MPa (g)",D9*10+$F$3,C9="bar(a)",D9, C9="bar (g)",D9+$F$3)</f>
        <v>166.70000000000002</v>
      </c>
      <c r="G9" s="8" t="s">
        <v>198</v>
      </c>
      <c r="H9" s="1">
        <v>16.670000000000002</v>
      </c>
      <c r="I9" s="8" t="s">
        <v>193</v>
      </c>
      <c r="J9" s="1" cm="1">
        <f t="array" ref="J9">_xlfn.IFS(G9="MPa (a)", H9*10,G9="MPa (g)",H9*10+$J$3,G9="bar(a)",H9, G9="bar (g)",H9+$J$3)</f>
        <v>167.71300000000002</v>
      </c>
    </row>
    <row r="10" spans="1:10" x14ac:dyDescent="0.35">
      <c r="A10" s="8">
        <v>8</v>
      </c>
      <c r="B10" s="9" t="s">
        <v>10</v>
      </c>
      <c r="C10" s="8" t="s">
        <v>197</v>
      </c>
      <c r="D10" s="1">
        <v>16.89</v>
      </c>
      <c r="E10" s="8" t="s">
        <v>193</v>
      </c>
      <c r="F10" s="1" cm="1">
        <f t="array" ref="F10">_xlfn.IFS(C10="MPa (a)", D10*10,C10="MPa (g)",D10*10+$F$3,C10="bar(a)",D10, C10="bar (g)",D10+$F$3)</f>
        <v>168.9</v>
      </c>
      <c r="G10" s="8" t="s">
        <v>198</v>
      </c>
      <c r="H10" s="1">
        <v>16.89</v>
      </c>
      <c r="I10" s="8" t="s">
        <v>193</v>
      </c>
      <c r="J10" s="1" cm="1">
        <f t="array" ref="J10">_xlfn.IFS(G10="MPa (a)", H10*10,G10="MPa (g)",H10*10+$J$3,G10="bar(a)",H10, G10="bar (g)",H10+$J$3)</f>
        <v>169.91300000000001</v>
      </c>
    </row>
    <row r="11" spans="1:10" x14ac:dyDescent="0.35">
      <c r="A11" s="8">
        <v>9</v>
      </c>
      <c r="B11" s="9" t="s">
        <v>11</v>
      </c>
      <c r="C11" s="8" t="s">
        <v>54</v>
      </c>
      <c r="D11" s="1">
        <v>538</v>
      </c>
      <c r="E11" s="8" t="s">
        <v>54</v>
      </c>
      <c r="F11" s="1">
        <f>D11</f>
        <v>538</v>
      </c>
      <c r="G11" s="8" t="s">
        <v>54</v>
      </c>
      <c r="H11" s="1">
        <v>538</v>
      </c>
      <c r="I11" s="8" t="s">
        <v>54</v>
      </c>
      <c r="J11" s="1">
        <f>H11</f>
        <v>538</v>
      </c>
    </row>
    <row r="12" spans="1:10" x14ac:dyDescent="0.35">
      <c r="A12" s="8">
        <v>10</v>
      </c>
      <c r="B12" s="9" t="s">
        <v>12</v>
      </c>
      <c r="C12" s="8" t="s">
        <v>54</v>
      </c>
      <c r="D12" s="1">
        <v>538</v>
      </c>
      <c r="E12" s="8" t="s">
        <v>54</v>
      </c>
      <c r="F12" s="1">
        <f>D12</f>
        <v>538</v>
      </c>
      <c r="G12" s="8" t="s">
        <v>54</v>
      </c>
      <c r="H12" s="1">
        <v>538</v>
      </c>
      <c r="I12" s="8" t="s">
        <v>54</v>
      </c>
      <c r="J12" s="1">
        <f>H12</f>
        <v>538</v>
      </c>
    </row>
    <row r="13" spans="1:10" x14ac:dyDescent="0.35">
      <c r="A13" s="8"/>
      <c r="B13" s="10" t="s">
        <v>13</v>
      </c>
      <c r="C13" s="8"/>
      <c r="D13" s="1"/>
      <c r="E13" s="8"/>
      <c r="F13" s="1"/>
      <c r="G13" s="8"/>
      <c r="H13" s="1"/>
      <c r="I13" s="8"/>
      <c r="J13" s="11"/>
    </row>
    <row r="14" spans="1:10" x14ac:dyDescent="0.35">
      <c r="A14" s="8">
        <v>11</v>
      </c>
      <c r="B14" s="9" t="s">
        <v>14</v>
      </c>
      <c r="C14" s="8" t="s">
        <v>197</v>
      </c>
      <c r="D14" s="1">
        <v>3.5219999999999998</v>
      </c>
      <c r="E14" s="8" t="s">
        <v>193</v>
      </c>
      <c r="F14" s="1" cm="1">
        <f t="array" ref="F14">_xlfn.IFS(C14="MPa (a)", D14*10,C14="MPa (g)",D14*10+$F$3,C14="bar(a)",D14, C14="bar (g)",D14+$F$3)</f>
        <v>35.22</v>
      </c>
      <c r="G14" s="8" t="s">
        <v>198</v>
      </c>
      <c r="H14" s="1">
        <v>3.43</v>
      </c>
      <c r="I14" s="8" t="s">
        <v>193</v>
      </c>
      <c r="J14" s="1" cm="1">
        <f t="array" ref="J14">_xlfn.IFS(G14="MPa (a)", H14*10,G14="MPa (g)",H14*10+$J$3,G14="bar(a)",H14, G14="bar (g)",H14+$J$3)</f>
        <v>35.313000000000002</v>
      </c>
    </row>
    <row r="15" spans="1:10" x14ac:dyDescent="0.35">
      <c r="A15" s="8">
        <v>12</v>
      </c>
      <c r="B15" s="9" t="s">
        <v>15</v>
      </c>
      <c r="C15" s="8" t="s">
        <v>197</v>
      </c>
      <c r="D15" s="1">
        <v>3.5219999999999998</v>
      </c>
      <c r="E15" s="8" t="s">
        <v>193</v>
      </c>
      <c r="F15" s="1" cm="1">
        <f t="array" ref="F15">_xlfn.IFS(C15="MPa (a)", D15*10,C15="MPa (g)",D15*10+$F$3,C15="bar(a)",D15, C15="bar (g)",D15+$F$3)</f>
        <v>35.22</v>
      </c>
      <c r="G15" s="8" t="s">
        <v>198</v>
      </c>
      <c r="H15" s="1">
        <v>3.34</v>
      </c>
      <c r="I15" s="8" t="s">
        <v>193</v>
      </c>
      <c r="J15" s="1" cm="1">
        <f t="array" ref="J15">_xlfn.IFS(G15="MPa (a)", H15*10,G15="MPa (g)",H15*10+$J$3,G15="bar(a)",H15, G15="bar (g)",H15+$J$3)</f>
        <v>34.412999999999997</v>
      </c>
    </row>
    <row r="16" spans="1:10" x14ac:dyDescent="0.35">
      <c r="A16" s="8">
        <v>13</v>
      </c>
      <c r="B16" s="9" t="s">
        <v>16</v>
      </c>
      <c r="C16" s="8" t="s">
        <v>54</v>
      </c>
      <c r="D16" s="1">
        <v>315.8</v>
      </c>
      <c r="E16" s="8" t="s">
        <v>54</v>
      </c>
      <c r="F16" s="1">
        <f>D16</f>
        <v>315.8</v>
      </c>
      <c r="G16" s="8" t="s">
        <v>54</v>
      </c>
      <c r="H16" s="1">
        <v>317.17</v>
      </c>
      <c r="I16" s="8" t="s">
        <v>54</v>
      </c>
      <c r="J16" s="1">
        <f>H16</f>
        <v>317.17</v>
      </c>
    </row>
    <row r="17" spans="1:10" x14ac:dyDescent="0.35">
      <c r="A17" s="8">
        <v>14</v>
      </c>
      <c r="B17" s="9" t="s">
        <v>17</v>
      </c>
      <c r="C17" s="8" t="s">
        <v>197</v>
      </c>
      <c r="D17" s="1">
        <v>3.31</v>
      </c>
      <c r="E17" s="8" t="s">
        <v>193</v>
      </c>
      <c r="F17" s="1" cm="1">
        <f t="array" ref="F17">_xlfn.IFS(C17="MPa (a)", D17*10,C17="MPa (g)",D17*10+$F$3,C17="bar(a)",D17, C17="bar (g)",D17+$F$3)</f>
        <v>33.1</v>
      </c>
      <c r="G17" s="8" t="s">
        <v>198</v>
      </c>
      <c r="H17" s="1">
        <v>3.31</v>
      </c>
      <c r="I17" s="8" t="s">
        <v>193</v>
      </c>
      <c r="J17" s="1" cm="1">
        <f t="array" ref="J17">_xlfn.IFS(G17="MPa (a)", H17*10,G17="MPa (g)",H17*10+$J$3,G17="bar(a)",H17, G17="bar (g)",H17+$J$3)</f>
        <v>34.113</v>
      </c>
    </row>
    <row r="18" spans="1:10" x14ac:dyDescent="0.35">
      <c r="A18" s="8">
        <v>15</v>
      </c>
      <c r="B18" s="9" t="s">
        <v>18</v>
      </c>
      <c r="C18" s="8" t="s">
        <v>54</v>
      </c>
      <c r="D18" s="1">
        <v>344.18</v>
      </c>
      <c r="E18" s="8" t="s">
        <v>54</v>
      </c>
      <c r="F18" s="1">
        <f>D18</f>
        <v>344.18</v>
      </c>
      <c r="G18" s="8" t="s">
        <v>54</v>
      </c>
      <c r="H18" s="1">
        <v>344.18</v>
      </c>
      <c r="I18" s="8" t="s">
        <v>54</v>
      </c>
      <c r="J18" s="1">
        <f>H18</f>
        <v>344.18</v>
      </c>
    </row>
    <row r="19" spans="1:10" x14ac:dyDescent="0.35">
      <c r="A19" s="8"/>
      <c r="B19" s="10" t="s">
        <v>19</v>
      </c>
      <c r="C19" s="8"/>
      <c r="D19" s="1"/>
      <c r="E19" s="8"/>
      <c r="F19" s="1"/>
      <c r="G19" s="8"/>
      <c r="H19" s="1"/>
      <c r="I19" s="8"/>
      <c r="J19" s="11"/>
    </row>
    <row r="20" spans="1:10" x14ac:dyDescent="0.35">
      <c r="A20" s="8">
        <v>16</v>
      </c>
      <c r="B20" s="9" t="s">
        <v>20</v>
      </c>
      <c r="C20" s="8" t="s">
        <v>197</v>
      </c>
      <c r="D20" s="1">
        <v>3.17</v>
      </c>
      <c r="E20" s="8" t="s">
        <v>193</v>
      </c>
      <c r="F20" s="1" cm="1">
        <f t="array" ref="F20">_xlfn.IFS(C20="MPa (a)", D20*10,C20="MPa (g)",D20*10+$F$3,C20="bar(a)",D20, C20="bar (g)",D20+$F$3)</f>
        <v>31.7</v>
      </c>
      <c r="G20" s="8" t="s">
        <v>198</v>
      </c>
      <c r="H20" s="1">
        <v>2.9</v>
      </c>
      <c r="I20" s="8" t="s">
        <v>193</v>
      </c>
      <c r="J20" s="1" cm="1">
        <f t="array" ref="J20">_xlfn.IFS(G20="MPa (a)", H20*10,G20="MPa (g)",H20*10+$J$3,G20="bar(a)",H20, G20="bar (g)",H20+$J$3)</f>
        <v>30.012999999999998</v>
      </c>
    </row>
    <row r="21" spans="1:10" x14ac:dyDescent="0.35">
      <c r="A21" s="8">
        <v>17</v>
      </c>
      <c r="B21" s="9" t="s">
        <v>21</v>
      </c>
      <c r="C21" s="8" t="s">
        <v>54</v>
      </c>
      <c r="D21" s="1">
        <v>538</v>
      </c>
      <c r="E21" s="8" t="s">
        <v>54</v>
      </c>
      <c r="F21" s="1">
        <f>D21</f>
        <v>538</v>
      </c>
      <c r="G21" s="8" t="s">
        <v>54</v>
      </c>
      <c r="H21" s="1">
        <v>540.64</v>
      </c>
      <c r="I21" s="8" t="s">
        <v>54</v>
      </c>
      <c r="J21" s="1">
        <f>H21</f>
        <v>540.64</v>
      </c>
    </row>
    <row r="22" spans="1:10" x14ac:dyDescent="0.35">
      <c r="A22" s="8">
        <v>18</v>
      </c>
      <c r="B22" s="9" t="s">
        <v>22</v>
      </c>
      <c r="C22" s="8" t="s">
        <v>54</v>
      </c>
      <c r="D22" s="1">
        <v>538</v>
      </c>
      <c r="E22" s="8" t="s">
        <v>54</v>
      </c>
      <c r="F22" s="1">
        <f t="shared" ref="F22:F24" si="1">D22</f>
        <v>538</v>
      </c>
      <c r="G22" s="8" t="s">
        <v>54</v>
      </c>
      <c r="H22" s="1">
        <v>540.36</v>
      </c>
      <c r="I22" s="8" t="s">
        <v>54</v>
      </c>
      <c r="J22" s="1">
        <f t="shared" ref="J22:J24" si="2">H22</f>
        <v>540.36</v>
      </c>
    </row>
    <row r="23" spans="1:10" x14ac:dyDescent="0.35">
      <c r="A23" s="8">
        <v>19</v>
      </c>
      <c r="B23" s="9" t="s">
        <v>23</v>
      </c>
      <c r="C23" s="8" t="s">
        <v>54</v>
      </c>
      <c r="D23" s="1">
        <v>538</v>
      </c>
      <c r="E23" s="8" t="s">
        <v>54</v>
      </c>
      <c r="F23" s="1">
        <f t="shared" si="1"/>
        <v>538</v>
      </c>
      <c r="G23" s="8" t="s">
        <v>54</v>
      </c>
      <c r="H23" s="1">
        <v>539.84</v>
      </c>
      <c r="I23" s="8" t="s">
        <v>54</v>
      </c>
      <c r="J23" s="1">
        <f t="shared" si="2"/>
        <v>539.84</v>
      </c>
    </row>
    <row r="24" spans="1:10" x14ac:dyDescent="0.35">
      <c r="A24" s="8">
        <v>20</v>
      </c>
      <c r="B24" s="9" t="s">
        <v>24</v>
      </c>
      <c r="C24" s="8" t="s">
        <v>8</v>
      </c>
      <c r="D24" s="1">
        <v>913.62400000000002</v>
      </c>
      <c r="E24" s="8" t="s">
        <v>199</v>
      </c>
      <c r="F24" s="1">
        <f t="shared" si="1"/>
        <v>913.62400000000002</v>
      </c>
      <c r="G24" s="8" t="s">
        <v>8</v>
      </c>
      <c r="H24" s="1">
        <v>966.75</v>
      </c>
      <c r="I24" s="8" t="s">
        <v>199</v>
      </c>
      <c r="J24" s="1">
        <f t="shared" si="2"/>
        <v>966.75</v>
      </c>
    </row>
    <row r="25" spans="1:10" x14ac:dyDescent="0.35">
      <c r="A25" s="8">
        <v>21</v>
      </c>
      <c r="B25" s="9" t="s">
        <v>25</v>
      </c>
      <c r="C25" s="8"/>
      <c r="D25" s="1">
        <v>-91.249999999999986</v>
      </c>
      <c r="E25" s="8" t="s">
        <v>193</v>
      </c>
      <c r="F25" s="12">
        <f>(F3*100+D25)/100</f>
        <v>0.10049999999999998</v>
      </c>
      <c r="G25" s="8"/>
      <c r="H25" s="1">
        <v>-89.18</v>
      </c>
      <c r="I25" s="8" t="s">
        <v>193</v>
      </c>
      <c r="J25" s="13">
        <f>(J3*100+H25)/100</f>
        <v>0.12119999999999977</v>
      </c>
    </row>
    <row r="26" spans="1:10" x14ac:dyDescent="0.35">
      <c r="A26" s="8">
        <v>22</v>
      </c>
      <c r="B26" s="9" t="s">
        <v>26</v>
      </c>
      <c r="C26" s="8" t="s">
        <v>8</v>
      </c>
      <c r="D26" s="1">
        <v>702.82299999999998</v>
      </c>
      <c r="E26" s="8" t="s">
        <v>199</v>
      </c>
      <c r="F26" s="1">
        <f>D26*1000</f>
        <v>702823</v>
      </c>
      <c r="G26" s="8" t="s">
        <v>8</v>
      </c>
      <c r="H26" s="1">
        <v>731.92</v>
      </c>
      <c r="I26" s="8" t="s">
        <v>199</v>
      </c>
      <c r="J26" s="1">
        <f>H26*1000</f>
        <v>731920</v>
      </c>
    </row>
    <row r="27" spans="1:10" x14ac:dyDescent="0.35">
      <c r="A27" s="8"/>
      <c r="B27" s="10" t="s">
        <v>27</v>
      </c>
      <c r="C27" s="8"/>
      <c r="D27" s="1"/>
      <c r="E27" s="8"/>
      <c r="F27" s="1"/>
      <c r="G27" s="8"/>
      <c r="H27" s="1"/>
      <c r="I27" s="8"/>
      <c r="J27" s="11"/>
    </row>
    <row r="28" spans="1:10" x14ac:dyDescent="0.35">
      <c r="A28" s="8">
        <v>23</v>
      </c>
      <c r="B28" s="9" t="s">
        <v>28</v>
      </c>
      <c r="C28" s="8" t="s">
        <v>8</v>
      </c>
      <c r="D28" s="1">
        <v>0</v>
      </c>
      <c r="E28" s="8" t="s">
        <v>199</v>
      </c>
      <c r="F28" s="1">
        <f>D28*1000</f>
        <v>0</v>
      </c>
      <c r="G28" s="8" t="s">
        <v>8</v>
      </c>
      <c r="H28" s="1">
        <v>0</v>
      </c>
      <c r="I28" s="8" t="s">
        <v>199</v>
      </c>
      <c r="J28" s="1">
        <f>H28*1000</f>
        <v>0</v>
      </c>
    </row>
    <row r="29" spans="1:10" x14ac:dyDescent="0.35">
      <c r="A29" s="8">
        <v>24</v>
      </c>
      <c r="B29" s="9" t="s">
        <v>29</v>
      </c>
      <c r="C29" s="8" t="s">
        <v>8</v>
      </c>
      <c r="D29" s="1">
        <v>0</v>
      </c>
      <c r="E29" s="8" t="s">
        <v>199</v>
      </c>
      <c r="F29" s="1">
        <f t="shared" ref="F29:F31" si="3">D29*1000</f>
        <v>0</v>
      </c>
      <c r="G29" s="8" t="s">
        <v>8</v>
      </c>
      <c r="H29" s="1">
        <v>2.99</v>
      </c>
      <c r="I29" s="8" t="s">
        <v>199</v>
      </c>
      <c r="J29" s="1">
        <f t="shared" ref="J29:J31" si="4">H29*1000</f>
        <v>2990</v>
      </c>
    </row>
    <row r="30" spans="1:10" x14ac:dyDescent="0.35">
      <c r="A30" s="8">
        <v>25</v>
      </c>
      <c r="B30" s="9" t="s">
        <v>30</v>
      </c>
      <c r="C30" s="8" t="s">
        <v>8</v>
      </c>
      <c r="D30" s="1">
        <v>0</v>
      </c>
      <c r="E30" s="8" t="s">
        <v>199</v>
      </c>
      <c r="F30" s="1">
        <f t="shared" si="3"/>
        <v>0</v>
      </c>
      <c r="G30" s="8" t="s">
        <v>8</v>
      </c>
      <c r="H30" s="1">
        <v>1.76</v>
      </c>
      <c r="I30" s="8" t="s">
        <v>199</v>
      </c>
      <c r="J30" s="1">
        <f t="shared" si="4"/>
        <v>1760</v>
      </c>
    </row>
    <row r="31" spans="1:10" x14ac:dyDescent="0.35">
      <c r="A31" s="8">
        <v>26</v>
      </c>
      <c r="B31" s="9" t="s">
        <v>31</v>
      </c>
      <c r="C31" s="8" t="s">
        <v>8</v>
      </c>
      <c r="D31" s="1">
        <v>0</v>
      </c>
      <c r="E31" s="8" t="s">
        <v>199</v>
      </c>
      <c r="F31" s="1">
        <f t="shared" si="3"/>
        <v>0</v>
      </c>
      <c r="G31" s="8" t="s">
        <v>8</v>
      </c>
      <c r="H31" s="1">
        <v>0</v>
      </c>
      <c r="I31" s="8" t="s">
        <v>199</v>
      </c>
      <c r="J31" s="1">
        <f t="shared" si="4"/>
        <v>0</v>
      </c>
    </row>
    <row r="32" spans="1:10" x14ac:dyDescent="0.35">
      <c r="A32" s="8">
        <v>27</v>
      </c>
      <c r="B32" s="9" t="s">
        <v>32</v>
      </c>
      <c r="C32" s="8" t="s">
        <v>197</v>
      </c>
      <c r="D32" s="1">
        <v>18.77</v>
      </c>
      <c r="E32" s="8" t="s">
        <v>193</v>
      </c>
      <c r="F32" s="1" cm="1">
        <f t="array" ref="F32">_xlfn.IFS(C32="MPa (a)", D32*10,C32="MPa (g)",D32*10+$F$3,C32="bar(a)",D32, C32="bar (g)",D32+$F$3)</f>
        <v>187.7</v>
      </c>
      <c r="G32" s="8" t="s">
        <v>198</v>
      </c>
      <c r="H32" s="1">
        <v>18.77</v>
      </c>
      <c r="I32" s="8" t="s">
        <v>193</v>
      </c>
      <c r="J32" s="1" cm="1">
        <f t="array" ref="J32">_xlfn.IFS(G32="MPa (a)", H32*10,G32="MPa (g)",H32*10+$J$3,G32="bar(a)",H32, G32="bar (g)",H32+$J$3)</f>
        <v>188.71299999999999</v>
      </c>
    </row>
    <row r="33" spans="1:10" x14ac:dyDescent="0.35">
      <c r="A33" s="8">
        <v>28</v>
      </c>
      <c r="B33" s="9" t="s">
        <v>33</v>
      </c>
      <c r="C33" s="8" t="s">
        <v>54</v>
      </c>
      <c r="D33" s="1">
        <v>175.8</v>
      </c>
      <c r="E33" s="8" t="s">
        <v>54</v>
      </c>
      <c r="F33" s="1">
        <f>D33</f>
        <v>175.8</v>
      </c>
      <c r="G33" s="8" t="s">
        <v>54</v>
      </c>
      <c r="H33" s="1">
        <v>169.99</v>
      </c>
      <c r="I33" s="8" t="s">
        <v>54</v>
      </c>
      <c r="J33" s="1">
        <f>H33</f>
        <v>169.99</v>
      </c>
    </row>
    <row r="34" spans="1:10" x14ac:dyDescent="0.35">
      <c r="A34" s="8">
        <v>29</v>
      </c>
      <c r="B34" s="9" t="s">
        <v>34</v>
      </c>
      <c r="C34" s="8" t="s">
        <v>197</v>
      </c>
      <c r="D34" s="1">
        <v>11.8</v>
      </c>
      <c r="E34" s="8" t="s">
        <v>193</v>
      </c>
      <c r="F34" s="1" cm="1">
        <f t="array" ref="F34">_xlfn.IFS(C34="MPa (a)", D34*10,C34="MPa (g)",D34*10+$F$3,C34="bar(a)",D34, C34="bar (g)",D34+$F$3)</f>
        <v>118</v>
      </c>
      <c r="G34" s="8" t="s">
        <v>198</v>
      </c>
      <c r="H34" s="1">
        <v>11.8</v>
      </c>
      <c r="I34" s="8" t="s">
        <v>193</v>
      </c>
      <c r="J34" s="1" cm="1">
        <f t="array" ref="J34">_xlfn.IFS(G34="MPa (a)", H34*10,G34="MPa (g)",H34*10+$J$3,G34="bar(a)",H34, G34="bar (g)",H34+$J$3)</f>
        <v>119.01300000000001</v>
      </c>
    </row>
    <row r="35" spans="1:10" x14ac:dyDescent="0.35">
      <c r="A35" s="8">
        <v>30</v>
      </c>
      <c r="B35" s="9" t="s">
        <v>35</v>
      </c>
      <c r="C35" s="8" t="s">
        <v>54</v>
      </c>
      <c r="D35" s="1">
        <v>160.9</v>
      </c>
      <c r="E35" s="8" t="s">
        <v>54</v>
      </c>
      <c r="F35" s="1">
        <f>D35</f>
        <v>160.9</v>
      </c>
      <c r="G35" s="8" t="s">
        <v>54</v>
      </c>
      <c r="H35" s="1">
        <v>160.9</v>
      </c>
      <c r="I35" s="8" t="s">
        <v>54</v>
      </c>
      <c r="J35" s="1">
        <f>H35</f>
        <v>160.9</v>
      </c>
    </row>
    <row r="36" spans="1:10" x14ac:dyDescent="0.35">
      <c r="A36" s="8"/>
      <c r="B36" s="10" t="s">
        <v>36</v>
      </c>
      <c r="C36" s="8"/>
      <c r="D36" s="1"/>
      <c r="E36" s="8"/>
      <c r="F36" s="1"/>
      <c r="G36" s="8"/>
      <c r="H36" s="1"/>
      <c r="I36" s="8"/>
      <c r="J36" s="1"/>
    </row>
    <row r="37" spans="1:10" x14ac:dyDescent="0.35">
      <c r="A37" s="8">
        <v>31</v>
      </c>
      <c r="B37" s="9" t="s">
        <v>37</v>
      </c>
      <c r="C37" s="8" t="s">
        <v>197</v>
      </c>
      <c r="D37" s="1">
        <v>18.98</v>
      </c>
      <c r="E37" s="8" t="s">
        <v>193</v>
      </c>
      <c r="F37" s="1" cm="1">
        <f t="array" ref="F37">_xlfn.IFS(C37="MPa (a)", D37*10,C37="MPa (g)",D37*10+$F$3,C37="bar(a)",D37, C37="bar (g)",D37+$F$3)</f>
        <v>189.8</v>
      </c>
      <c r="G37" s="8" t="s">
        <v>198</v>
      </c>
      <c r="H37" s="1">
        <v>18.98</v>
      </c>
      <c r="I37" s="8" t="s">
        <v>193</v>
      </c>
      <c r="J37" s="1" cm="1">
        <f t="array" ref="J37">_xlfn.IFS(G37="MPa (a)", H37*10,G37="MPa (g)",H37*10+$J$3,G37="bar(a)",H37, G37="bar (g)",H37+$J$3)</f>
        <v>190.81300000000002</v>
      </c>
    </row>
    <row r="38" spans="1:10" x14ac:dyDescent="0.35">
      <c r="A38" s="8">
        <v>32</v>
      </c>
      <c r="B38" s="9" t="s">
        <v>38</v>
      </c>
      <c r="C38" s="8" t="s">
        <v>54</v>
      </c>
      <c r="D38" s="1">
        <v>175.8</v>
      </c>
      <c r="E38" s="8" t="s">
        <v>54</v>
      </c>
      <c r="F38" s="1">
        <f>D38</f>
        <v>175.8</v>
      </c>
      <c r="G38" s="8" t="s">
        <v>54</v>
      </c>
      <c r="H38" s="1">
        <v>177.49</v>
      </c>
      <c r="I38" s="8" t="s">
        <v>54</v>
      </c>
      <c r="J38" s="1">
        <f>H38</f>
        <v>177.49</v>
      </c>
    </row>
    <row r="39" spans="1:10" x14ac:dyDescent="0.35">
      <c r="A39" s="8">
        <v>33</v>
      </c>
      <c r="B39" s="9" t="s">
        <v>39</v>
      </c>
      <c r="C39" s="8" t="s">
        <v>197</v>
      </c>
      <c r="D39" s="1">
        <v>19.03</v>
      </c>
      <c r="E39" s="8" t="s">
        <v>193</v>
      </c>
      <c r="F39" s="1" cm="1">
        <f t="array" ref="F39">_xlfn.IFS(C39="MPa (a)", D39*10,C39="MPa (g)",D39*10+$F$3,C39="bar(a)",D39, C39="bar (g)",D39+$F$3)</f>
        <v>190.3</v>
      </c>
      <c r="G39" s="8" t="s">
        <v>198</v>
      </c>
      <c r="H39" s="1">
        <v>19.03</v>
      </c>
      <c r="I39" s="8" t="s">
        <v>193</v>
      </c>
      <c r="J39" s="1" cm="1">
        <f t="array" ref="J39">_xlfn.IFS(G39="MPa (a)", H39*10,G39="MPa (g)",H39*10+$J$3,G39="bar(a)",H39, G39="bar (g)",H39+$J$3)</f>
        <v>191.31300000000002</v>
      </c>
    </row>
    <row r="40" spans="1:10" x14ac:dyDescent="0.35">
      <c r="A40" s="8">
        <v>34</v>
      </c>
      <c r="B40" s="9" t="s">
        <v>40</v>
      </c>
      <c r="C40" s="8" t="s">
        <v>54</v>
      </c>
      <c r="D40" s="1">
        <v>205.5</v>
      </c>
      <c r="E40" s="8" t="s">
        <v>54</v>
      </c>
      <c r="F40" s="1">
        <f>D40</f>
        <v>205.5</v>
      </c>
      <c r="G40" s="8" t="s">
        <v>54</v>
      </c>
      <c r="H40" s="1">
        <v>206.35</v>
      </c>
      <c r="I40" s="8" t="s">
        <v>54</v>
      </c>
      <c r="J40" s="1">
        <f>H40</f>
        <v>206.35</v>
      </c>
    </row>
    <row r="41" spans="1:10" x14ac:dyDescent="0.35">
      <c r="A41" s="8">
        <v>35</v>
      </c>
      <c r="B41" s="9" t="s">
        <v>41</v>
      </c>
      <c r="C41" s="8" t="s">
        <v>197</v>
      </c>
      <c r="D41" s="1">
        <v>1.744</v>
      </c>
      <c r="E41" s="8" t="s">
        <v>193</v>
      </c>
      <c r="F41" s="1" cm="1">
        <f t="array" ref="F41">_xlfn.IFS(C41="MPa (a)", D41*10,C41="MPa (g)",D41*10+$F$3,C41="bar(a)",D41, C41="bar (g)",D41+$F$3)</f>
        <v>17.440000000000001</v>
      </c>
      <c r="G41" s="8" t="s">
        <v>198</v>
      </c>
      <c r="H41" s="1">
        <v>1.71</v>
      </c>
      <c r="I41" s="8" t="s">
        <v>193</v>
      </c>
      <c r="J41" s="1" cm="1">
        <f t="array" ref="J41">_xlfn.IFS(G41="MPa (a)", H41*10,G41="MPa (g)",H41*10+$J$3,G41="bar(a)",H41, G41="bar (g)",H41+$J$3)</f>
        <v>18.113</v>
      </c>
    </row>
    <row r="42" spans="1:10" x14ac:dyDescent="0.35">
      <c r="A42" s="8">
        <v>36</v>
      </c>
      <c r="B42" s="9" t="s">
        <v>42</v>
      </c>
      <c r="C42" s="8" t="s">
        <v>54</v>
      </c>
      <c r="D42" s="1">
        <v>472.38</v>
      </c>
      <c r="E42" s="8" t="s">
        <v>54</v>
      </c>
      <c r="F42" s="1">
        <f>D42</f>
        <v>472.38</v>
      </c>
      <c r="G42" s="8" t="s">
        <v>54</v>
      </c>
      <c r="H42" s="1">
        <v>472.38</v>
      </c>
      <c r="I42" s="8" t="s">
        <v>54</v>
      </c>
      <c r="J42" s="1">
        <f>H42</f>
        <v>472.38</v>
      </c>
    </row>
    <row r="43" spans="1:10" x14ac:dyDescent="0.35">
      <c r="A43" s="8">
        <v>37</v>
      </c>
      <c r="B43" s="9" t="s">
        <v>43</v>
      </c>
      <c r="C43" s="8" t="s">
        <v>54</v>
      </c>
      <c r="D43" s="1">
        <v>181.3</v>
      </c>
      <c r="E43" s="8" t="s">
        <v>54</v>
      </c>
      <c r="F43" s="1">
        <f>D43</f>
        <v>181.3</v>
      </c>
      <c r="G43" s="8" t="s">
        <v>54</v>
      </c>
      <c r="H43" s="1">
        <v>182.3</v>
      </c>
      <c r="I43" s="8" t="s">
        <v>54</v>
      </c>
      <c r="J43" s="1">
        <f>H43</f>
        <v>182.3</v>
      </c>
    </row>
    <row r="44" spans="1:10" x14ac:dyDescent="0.35">
      <c r="A44" s="8">
        <v>38</v>
      </c>
      <c r="B44" s="9" t="s">
        <v>44</v>
      </c>
      <c r="C44" s="8" t="s">
        <v>197</v>
      </c>
      <c r="D44" s="1">
        <v>18.899999999999999</v>
      </c>
      <c r="E44" s="8" t="s">
        <v>193</v>
      </c>
      <c r="F44" s="1" cm="1">
        <f t="array" ref="F44">_xlfn.IFS(C44="MPa (a)", D44*10,C44="MPa (g)",D44*10+$F$3,C44="bar(a)",D44, C44="bar (g)",D44+$F$3)</f>
        <v>189</v>
      </c>
      <c r="G44" s="8" t="s">
        <v>198</v>
      </c>
      <c r="H44" s="1">
        <v>18.899999999999999</v>
      </c>
      <c r="I44" s="8" t="s">
        <v>193</v>
      </c>
      <c r="J44" s="1" cm="1">
        <f t="array" ref="J44">_xlfn.IFS(G44="MPa (a)", H44*10,G44="MPa (g)",H44*10+$J$3,G44="bar(a)",H44, G44="bar (g)",H44+$J$3)</f>
        <v>190.01300000000001</v>
      </c>
    </row>
    <row r="45" spans="1:10" x14ac:dyDescent="0.35">
      <c r="A45" s="8">
        <v>39</v>
      </c>
      <c r="B45" s="9" t="s">
        <v>45</v>
      </c>
      <c r="C45" s="8" t="s">
        <v>54</v>
      </c>
      <c r="D45" s="1">
        <v>240</v>
      </c>
      <c r="E45" s="8" t="s">
        <v>54</v>
      </c>
      <c r="F45" s="1">
        <f>D45</f>
        <v>240</v>
      </c>
      <c r="G45" s="8" t="s">
        <v>54</v>
      </c>
      <c r="H45" s="1">
        <v>236.48</v>
      </c>
      <c r="I45" s="8" t="s">
        <v>54</v>
      </c>
      <c r="J45" s="1">
        <f>H45</f>
        <v>236.48</v>
      </c>
    </row>
    <row r="46" spans="1:10" x14ac:dyDescent="0.35">
      <c r="A46" s="8">
        <v>40</v>
      </c>
      <c r="B46" s="9" t="s">
        <v>46</v>
      </c>
      <c r="C46" s="8" t="s">
        <v>197</v>
      </c>
      <c r="D46" s="1">
        <v>3.3460000000000001</v>
      </c>
      <c r="E46" s="8" t="s">
        <v>193</v>
      </c>
      <c r="F46" s="1" cm="1">
        <f t="array" ref="F46">_xlfn.IFS(C46="MPa (a)", D46*10,C46="MPa (g)",D46*10+$F$3,C46="bar(a)",D46, C46="bar (g)",D46+$F$3)</f>
        <v>33.46</v>
      </c>
      <c r="G46" s="8" t="s">
        <v>198</v>
      </c>
      <c r="H46" s="1">
        <v>3.29</v>
      </c>
      <c r="I46" s="8" t="s">
        <v>193</v>
      </c>
      <c r="J46" s="1" cm="1">
        <f t="array" ref="J46">_xlfn.IFS(G46="MPa (a)", H46*10,G46="MPa (g)",H46*10+$J$3,G46="bar(a)",H46, G46="bar (g)",H46+$J$3)</f>
        <v>33.912999999999997</v>
      </c>
    </row>
    <row r="47" spans="1:10" x14ac:dyDescent="0.35">
      <c r="A47" s="8">
        <v>41</v>
      </c>
      <c r="B47" s="9" t="s">
        <v>47</v>
      </c>
      <c r="C47" s="8" t="s">
        <v>54</v>
      </c>
      <c r="D47" s="1">
        <v>318.81</v>
      </c>
      <c r="E47" s="8" t="s">
        <v>54</v>
      </c>
      <c r="F47" s="1">
        <f>D47</f>
        <v>318.81</v>
      </c>
      <c r="G47" s="8" t="s">
        <v>54</v>
      </c>
      <c r="H47" s="1">
        <v>318.81</v>
      </c>
      <c r="I47" s="8" t="s">
        <v>54</v>
      </c>
      <c r="J47" s="1">
        <f>H47</f>
        <v>318.81</v>
      </c>
    </row>
    <row r="48" spans="1:10" x14ac:dyDescent="0.35">
      <c r="A48" s="8">
        <v>42</v>
      </c>
      <c r="B48" s="9" t="s">
        <v>48</v>
      </c>
      <c r="C48" s="8" t="s">
        <v>54</v>
      </c>
      <c r="D48" s="1">
        <v>211.1</v>
      </c>
      <c r="E48" s="8" t="s">
        <v>54</v>
      </c>
      <c r="F48" s="1">
        <f>D48</f>
        <v>211.1</v>
      </c>
      <c r="G48" s="8" t="s">
        <v>54</v>
      </c>
      <c r="H48" s="1">
        <v>211.22</v>
      </c>
      <c r="I48" s="8" t="s">
        <v>54</v>
      </c>
      <c r="J48" s="1">
        <f>H48</f>
        <v>211.22</v>
      </c>
    </row>
    <row r="49" spans="1:10" x14ac:dyDescent="0.35">
      <c r="A49" s="8">
        <v>43</v>
      </c>
      <c r="B49" s="9" t="s">
        <v>49</v>
      </c>
      <c r="C49" s="8" t="s">
        <v>197</v>
      </c>
      <c r="D49" s="1">
        <v>18.8</v>
      </c>
      <c r="E49" s="8" t="s">
        <v>193</v>
      </c>
      <c r="F49" s="1" cm="1">
        <f t="array" ref="F49">_xlfn.IFS(C49="MPa (a)", D49*10,C49="MPa (g)",D49*10+$F$3,C49="bar(a)",D49, C49="bar (g)",D49+$F$3)</f>
        <v>188</v>
      </c>
      <c r="G49" s="8" t="s">
        <v>198</v>
      </c>
      <c r="H49" s="1">
        <v>18.8</v>
      </c>
      <c r="I49" s="8" t="s">
        <v>193</v>
      </c>
      <c r="J49" s="1" cm="1">
        <f t="array" ref="J49">_xlfn.IFS(G49="MPa (a)", H49*10,G49="MPa (g)",H49*10+$J$3,G49="bar(a)",H49, G49="bar (g)",H49+$J$3)</f>
        <v>189.01300000000001</v>
      </c>
    </row>
    <row r="50" spans="1:10" x14ac:dyDescent="0.35">
      <c r="A50" s="8">
        <v>44</v>
      </c>
      <c r="B50" s="9" t="s">
        <v>50</v>
      </c>
      <c r="C50" s="8" t="s">
        <v>54</v>
      </c>
      <c r="D50" s="1">
        <v>274.5</v>
      </c>
      <c r="E50" s="8" t="s">
        <v>54</v>
      </c>
      <c r="F50" s="1">
        <f>D50</f>
        <v>274.5</v>
      </c>
      <c r="G50" s="8" t="s">
        <v>54</v>
      </c>
      <c r="H50" s="1">
        <v>273.85000000000002</v>
      </c>
      <c r="I50" s="8" t="s">
        <v>54</v>
      </c>
      <c r="J50" s="1">
        <f>H50</f>
        <v>273.85000000000002</v>
      </c>
    </row>
    <row r="51" spans="1:10" x14ac:dyDescent="0.35">
      <c r="A51" s="8">
        <v>45</v>
      </c>
      <c r="B51" s="9" t="s">
        <v>51</v>
      </c>
      <c r="C51" s="8" t="s">
        <v>197</v>
      </c>
      <c r="D51" s="1">
        <v>5.7549999999999999</v>
      </c>
      <c r="E51" s="8" t="s">
        <v>193</v>
      </c>
      <c r="F51" s="1" cm="1">
        <f t="array" ref="F51">_xlfn.IFS(C51="MPa (a)", D51*10,C51="MPa (g)",D51*10+$F$3,C51="bar(a)",D51, C51="bar (g)",D51+$F$3)</f>
        <v>57.55</v>
      </c>
      <c r="G51" s="8" t="s">
        <v>198</v>
      </c>
      <c r="H51" s="1">
        <v>5.63</v>
      </c>
      <c r="I51" s="8" t="s">
        <v>193</v>
      </c>
      <c r="J51" s="1" cm="1">
        <f t="array" ref="J51">_xlfn.IFS(G51="MPa (a)", H51*10,G51="MPa (g)",H51*10+$J$3,G51="bar(a)",H51, G51="bar (g)",H51+$J$3)</f>
        <v>57.312999999999995</v>
      </c>
    </row>
    <row r="52" spans="1:10" x14ac:dyDescent="0.35">
      <c r="A52" s="8">
        <v>46</v>
      </c>
      <c r="B52" s="9" t="s">
        <v>52</v>
      </c>
      <c r="C52" s="8" t="s">
        <v>54</v>
      </c>
      <c r="D52" s="1">
        <v>387.92</v>
      </c>
      <c r="E52" s="8" t="s">
        <v>54</v>
      </c>
      <c r="F52" s="1">
        <f>D52</f>
        <v>387.92</v>
      </c>
      <c r="G52" s="8" t="s">
        <v>54</v>
      </c>
      <c r="H52" s="1">
        <v>387.92</v>
      </c>
      <c r="I52" s="8" t="s">
        <v>54</v>
      </c>
      <c r="J52" s="1">
        <f>H52</f>
        <v>387.92</v>
      </c>
    </row>
    <row r="53" spans="1:10" x14ac:dyDescent="0.35">
      <c r="A53" s="8">
        <v>47</v>
      </c>
      <c r="B53" s="9" t="s">
        <v>53</v>
      </c>
      <c r="C53" s="8" t="s">
        <v>54</v>
      </c>
      <c r="D53" s="1">
        <v>245.5</v>
      </c>
      <c r="E53" s="8" t="s">
        <v>54</v>
      </c>
      <c r="F53" s="1">
        <f>D53</f>
        <v>245.5</v>
      </c>
      <c r="G53" s="8" t="s">
        <v>54</v>
      </c>
      <c r="H53" s="1">
        <v>243.16</v>
      </c>
      <c r="I53" s="8" t="s">
        <v>54</v>
      </c>
      <c r="J53" s="1">
        <f>H53</f>
        <v>243.16</v>
      </c>
    </row>
    <row r="54" spans="1:10" x14ac:dyDescent="0.35">
      <c r="A54" s="8">
        <v>48</v>
      </c>
      <c r="B54" s="9" t="s">
        <v>55</v>
      </c>
      <c r="C54" s="8" t="s">
        <v>197</v>
      </c>
      <c r="D54" s="1">
        <v>18.489999999999998</v>
      </c>
      <c r="E54" s="8" t="s">
        <v>193</v>
      </c>
      <c r="F54" s="1" cm="1">
        <f t="array" ref="F54">_xlfn.IFS(C54="MPa (a)", D54*10,C54="MPa (g)",D54*10+$F$3,C54="bar(a)",D54, C54="bar (g)",D54+$F$3)</f>
        <v>184.89999999999998</v>
      </c>
      <c r="G54" s="8" t="s">
        <v>198</v>
      </c>
      <c r="H54" s="1">
        <v>18.489999999999998</v>
      </c>
      <c r="I54" s="8" t="s">
        <v>193</v>
      </c>
      <c r="J54" s="1" cm="1">
        <f t="array" ref="J54">_xlfn.IFS(G54="MPa (a)", H54*10,G54="MPa (g)",H54*10+$J$3,G54="bar(a)",H54, G54="bar (g)",H54+$J$3)</f>
        <v>185.91299999999998</v>
      </c>
    </row>
    <row r="55" spans="1:10" x14ac:dyDescent="0.35">
      <c r="A55" s="8">
        <v>49</v>
      </c>
      <c r="B55" s="9" t="s">
        <v>56</v>
      </c>
      <c r="C55" s="8" t="s">
        <v>54</v>
      </c>
      <c r="D55" s="1">
        <v>274.5</v>
      </c>
      <c r="E55" s="8" t="s">
        <v>54</v>
      </c>
      <c r="F55" s="1">
        <f>D55</f>
        <v>274.5</v>
      </c>
      <c r="G55" s="8" t="s">
        <v>54</v>
      </c>
      <c r="H55" s="1">
        <v>274.92</v>
      </c>
      <c r="I55" s="8" t="s">
        <v>54</v>
      </c>
      <c r="J55" s="1">
        <f>H55</f>
        <v>274.92</v>
      </c>
    </row>
    <row r="56" spans="1:10" x14ac:dyDescent="0.35">
      <c r="A56" s="8">
        <v>50</v>
      </c>
      <c r="B56" s="9" t="s">
        <v>57</v>
      </c>
      <c r="C56" s="8" t="s">
        <v>54</v>
      </c>
      <c r="D56" s="1">
        <v>274.5</v>
      </c>
      <c r="E56" s="8" t="s">
        <v>54</v>
      </c>
      <c r="F56" s="1">
        <f t="shared" ref="F56" si="5">D56</f>
        <v>274.5</v>
      </c>
      <c r="G56" s="8" t="s">
        <v>54</v>
      </c>
      <c r="H56" s="1">
        <v>272.58999999999997</v>
      </c>
      <c r="I56" s="8" t="s">
        <v>54</v>
      </c>
      <c r="J56" s="1">
        <f t="shared" ref="J56" si="6">H56</f>
        <v>272.58999999999997</v>
      </c>
    </row>
    <row r="57" spans="1:10" x14ac:dyDescent="0.35">
      <c r="A57" s="8">
        <v>51</v>
      </c>
      <c r="B57" s="9" t="s">
        <v>58</v>
      </c>
      <c r="C57" s="8" t="s">
        <v>197</v>
      </c>
      <c r="D57" s="1">
        <v>0.87</v>
      </c>
      <c r="E57" s="8" t="s">
        <v>193</v>
      </c>
      <c r="F57" s="1" cm="1">
        <f t="array" ref="F57">_xlfn.IFS(C57="MPa (a)", D57*10,C57="MPa (g)",D57*10+$F$3,C57="bar(a)",D57, C57="bar (g)",D57+$F$3)</f>
        <v>8.6999999999999993</v>
      </c>
      <c r="G57" s="8" t="s">
        <v>198</v>
      </c>
      <c r="H57" s="1">
        <v>0.87</v>
      </c>
      <c r="I57" s="8" t="s">
        <v>193</v>
      </c>
      <c r="J57" s="1" cm="1">
        <f t="array" ref="J57">_xlfn.IFS(G57="MPa (a)", H57*10,G57="MPa (g)",H57*10+$J$3,G57="bar(a)",H57, G57="bar (g)",H57+$J$3)</f>
        <v>9.7129999999999992</v>
      </c>
    </row>
    <row r="58" spans="1:10" x14ac:dyDescent="0.35">
      <c r="A58" s="8">
        <v>52</v>
      </c>
      <c r="B58" s="9" t="s">
        <v>59</v>
      </c>
      <c r="C58" s="8" t="s">
        <v>54</v>
      </c>
      <c r="D58" s="1">
        <v>138.69999999999999</v>
      </c>
      <c r="E58" s="8" t="s">
        <v>54</v>
      </c>
      <c r="F58" s="1">
        <f t="shared" ref="F58" si="7">D58</f>
        <v>138.69999999999999</v>
      </c>
      <c r="G58" s="8" t="s">
        <v>54</v>
      </c>
      <c r="H58" s="1">
        <v>139.54</v>
      </c>
      <c r="I58" s="8" t="s">
        <v>54</v>
      </c>
      <c r="J58" s="1">
        <f t="shared" ref="J58" si="8">H58</f>
        <v>139.54</v>
      </c>
    </row>
    <row r="59" spans="1:10" x14ac:dyDescent="0.35">
      <c r="A59" s="8">
        <v>53</v>
      </c>
      <c r="B59" s="9" t="s">
        <v>60</v>
      </c>
      <c r="C59" s="8" t="s">
        <v>197</v>
      </c>
      <c r="D59" s="1">
        <v>0.83479999999999999</v>
      </c>
      <c r="E59" s="8" t="s">
        <v>193</v>
      </c>
      <c r="F59" s="1" cm="1">
        <f t="array" ref="F59">_xlfn.IFS(C59="MPa (a)", D59*10,C59="MPa (g)",D59*10+$F$3,C59="bar(a)",D59, C59="bar (g)",D59+$F$3)</f>
        <v>8.347999999999999</v>
      </c>
      <c r="G59" s="8" t="s">
        <v>198</v>
      </c>
      <c r="H59" s="1">
        <v>0.83</v>
      </c>
      <c r="I59" s="8" t="s">
        <v>193</v>
      </c>
      <c r="J59" s="1" cm="1">
        <f t="array" ref="J59">_xlfn.IFS(G59="MPa (a)", H59*10,G59="MPa (g)",H59*10+$J$3,G59="bar(a)",H59, G59="bar (g)",H59+$J$3)</f>
        <v>9.3129999999999988</v>
      </c>
    </row>
    <row r="60" spans="1:10" x14ac:dyDescent="0.35">
      <c r="A60" s="8">
        <v>54</v>
      </c>
      <c r="B60" s="9" t="s">
        <v>61</v>
      </c>
      <c r="C60" s="8" t="s">
        <v>54</v>
      </c>
      <c r="D60" s="1">
        <v>357.51</v>
      </c>
      <c r="E60" s="8" t="s">
        <v>54</v>
      </c>
      <c r="F60" s="1">
        <f>D60</f>
        <v>357.51</v>
      </c>
      <c r="G60" s="8" t="s">
        <v>54</v>
      </c>
      <c r="H60" s="1">
        <v>357.51</v>
      </c>
      <c r="I60" s="8" t="s">
        <v>54</v>
      </c>
      <c r="J60" s="1">
        <f>H60</f>
        <v>357.51</v>
      </c>
    </row>
    <row r="61" spans="1:10" x14ac:dyDescent="0.35">
      <c r="A61" s="8">
        <v>55</v>
      </c>
      <c r="B61" s="9" t="s">
        <v>62</v>
      </c>
      <c r="C61" s="8" t="s">
        <v>197</v>
      </c>
      <c r="D61" s="1">
        <v>0.81</v>
      </c>
      <c r="E61" s="8" t="s">
        <v>193</v>
      </c>
      <c r="F61" s="1" cm="1">
        <f t="array" ref="F61">_xlfn.IFS(C61="MPa (a)", D61*10,C61="MPa (g)",D61*10+$F$3,C61="bar(a)",D61, C61="bar (g)",D61+$F$3)</f>
        <v>8.1000000000000014</v>
      </c>
      <c r="G61" s="8" t="s">
        <v>198</v>
      </c>
      <c r="H61" s="1">
        <v>0.81</v>
      </c>
      <c r="I61" s="8" t="s">
        <v>193</v>
      </c>
      <c r="J61" s="1" cm="1">
        <f t="array" ref="J61">_xlfn.IFS(G61="MPa (a)", H61*10,G61="MPa (g)",H61*10+$J$3,G61="bar(a)",H61, G61="bar (g)",H61+$J$3)</f>
        <v>9.1130000000000013</v>
      </c>
    </row>
    <row r="62" spans="1:10" x14ac:dyDescent="0.35">
      <c r="A62" s="8">
        <v>56</v>
      </c>
      <c r="B62" s="9" t="s">
        <v>63</v>
      </c>
      <c r="C62" s="8" t="s">
        <v>54</v>
      </c>
      <c r="D62" s="1">
        <v>172.2</v>
      </c>
      <c r="E62" s="8" t="s">
        <v>54</v>
      </c>
      <c r="F62" s="1">
        <f>D62</f>
        <v>172.2</v>
      </c>
      <c r="G62" s="8" t="s">
        <v>54</v>
      </c>
      <c r="H62" s="1">
        <v>172.78</v>
      </c>
      <c r="I62" s="8" t="s">
        <v>54</v>
      </c>
      <c r="J62" s="1">
        <f>H62</f>
        <v>172.78</v>
      </c>
    </row>
    <row r="63" spans="1:10" x14ac:dyDescent="0.35">
      <c r="A63" s="8">
        <v>57</v>
      </c>
      <c r="B63" s="9" t="s">
        <v>64</v>
      </c>
      <c r="C63" s="8" t="s">
        <v>65</v>
      </c>
      <c r="D63" s="1">
        <v>668.11</v>
      </c>
      <c r="E63" s="8" t="s">
        <v>65</v>
      </c>
      <c r="F63" s="1">
        <f>D63</f>
        <v>668.11</v>
      </c>
      <c r="G63" s="8" t="s">
        <v>65</v>
      </c>
      <c r="H63" s="1">
        <v>668.11</v>
      </c>
      <c r="I63" s="8" t="s">
        <v>65</v>
      </c>
      <c r="J63" s="1">
        <f>H63</f>
        <v>668.11</v>
      </c>
    </row>
    <row r="64" spans="1:10" x14ac:dyDescent="0.35">
      <c r="A64" s="8">
        <v>58</v>
      </c>
      <c r="B64" s="9" t="s">
        <v>66</v>
      </c>
      <c r="C64" s="8" t="s">
        <v>65</v>
      </c>
      <c r="D64" s="1">
        <v>-39.54</v>
      </c>
      <c r="E64" s="8" t="s">
        <v>65</v>
      </c>
      <c r="F64" s="1">
        <f>D64</f>
        <v>-39.54</v>
      </c>
      <c r="G64" s="8" t="s">
        <v>65</v>
      </c>
      <c r="H64" s="1">
        <v>-39.54</v>
      </c>
      <c r="I64" s="8" t="s">
        <v>65</v>
      </c>
      <c r="J64" s="1">
        <f>H64</f>
        <v>-39.54</v>
      </c>
    </row>
    <row r="65" spans="1:10" x14ac:dyDescent="0.35">
      <c r="A65" s="8">
        <v>59</v>
      </c>
      <c r="B65" s="9" t="s">
        <v>67</v>
      </c>
      <c r="C65" s="8" t="s">
        <v>8</v>
      </c>
      <c r="D65" s="1">
        <v>33.896999999999998</v>
      </c>
      <c r="E65" s="8" t="s">
        <v>199</v>
      </c>
      <c r="F65" s="1">
        <f>D65*1000</f>
        <v>33897</v>
      </c>
      <c r="G65" s="8" t="s">
        <v>8</v>
      </c>
      <c r="H65" s="1">
        <v>34.07</v>
      </c>
      <c r="I65" s="8" t="s">
        <v>199</v>
      </c>
      <c r="J65" s="1">
        <f>H65*1000</f>
        <v>34070</v>
      </c>
    </row>
    <row r="66" spans="1:10" x14ac:dyDescent="0.35">
      <c r="A66" s="8">
        <v>60</v>
      </c>
      <c r="B66" s="9" t="s">
        <v>68</v>
      </c>
      <c r="C66" s="8" t="s">
        <v>8</v>
      </c>
      <c r="D66" s="1">
        <v>61.466999999999999</v>
      </c>
      <c r="E66" s="8" t="s">
        <v>199</v>
      </c>
      <c r="F66" s="1">
        <f t="shared" ref="F66:F67" si="9">D66*1000</f>
        <v>61467</v>
      </c>
      <c r="G66" s="8" t="s">
        <v>8</v>
      </c>
      <c r="H66" s="1">
        <v>57.47</v>
      </c>
      <c r="I66" s="8" t="s">
        <v>199</v>
      </c>
      <c r="J66" s="1">
        <f t="shared" ref="J66:J67" si="10">H66*1000</f>
        <v>57470</v>
      </c>
    </row>
    <row r="67" spans="1:10" x14ac:dyDescent="0.35">
      <c r="A67" s="8">
        <v>61</v>
      </c>
      <c r="B67" s="9" t="s">
        <v>69</v>
      </c>
      <c r="C67" s="8" t="s">
        <v>8</v>
      </c>
      <c r="D67" s="1">
        <v>72.064999999999998</v>
      </c>
      <c r="E67" s="8" t="s">
        <v>199</v>
      </c>
      <c r="F67" s="1">
        <f t="shared" si="9"/>
        <v>72065</v>
      </c>
      <c r="G67" s="8" t="s">
        <v>8</v>
      </c>
      <c r="H67" s="1">
        <v>80.95</v>
      </c>
      <c r="I67" s="8" t="s">
        <v>199</v>
      </c>
      <c r="J67" s="1">
        <f t="shared" si="10"/>
        <v>80950</v>
      </c>
    </row>
    <row r="68" spans="1:10" x14ac:dyDescent="0.35">
      <c r="A68" s="8"/>
      <c r="B68" s="10" t="s">
        <v>70</v>
      </c>
      <c r="C68" s="8"/>
      <c r="D68" s="1"/>
      <c r="E68" s="8"/>
      <c r="F68" s="1"/>
      <c r="G68" s="8"/>
      <c r="H68" s="1"/>
      <c r="I68" s="8"/>
      <c r="J68" s="1"/>
    </row>
    <row r="69" spans="1:10" x14ac:dyDescent="0.35">
      <c r="A69" s="8">
        <v>62</v>
      </c>
      <c r="B69" s="9" t="s">
        <v>71</v>
      </c>
      <c r="C69" s="8" t="s">
        <v>54</v>
      </c>
      <c r="D69" s="1">
        <v>34.369999999999997</v>
      </c>
      <c r="E69" s="8" t="s">
        <v>54</v>
      </c>
      <c r="F69" s="1">
        <f>D69</f>
        <v>34.369999999999997</v>
      </c>
      <c r="G69" s="8" t="s">
        <v>54</v>
      </c>
      <c r="H69" s="1">
        <v>34.369999999999997</v>
      </c>
      <c r="I69" s="8" t="s">
        <v>54</v>
      </c>
      <c r="J69" s="1">
        <f>H69</f>
        <v>34.369999999999997</v>
      </c>
    </row>
    <row r="70" spans="1:10" x14ac:dyDescent="0.35">
      <c r="A70" s="8">
        <v>63</v>
      </c>
      <c r="B70" s="9" t="s">
        <v>72</v>
      </c>
      <c r="C70" s="8" t="s">
        <v>54</v>
      </c>
      <c r="D70" s="1">
        <v>43.61</v>
      </c>
      <c r="E70" s="8" t="s">
        <v>54</v>
      </c>
      <c r="F70" s="1">
        <f t="shared" ref="F70:F72" si="11">D70</f>
        <v>43.61</v>
      </c>
      <c r="G70" s="8" t="s">
        <v>54</v>
      </c>
      <c r="H70" s="1">
        <v>43.61</v>
      </c>
      <c r="I70" s="8" t="s">
        <v>54</v>
      </c>
      <c r="J70" s="1">
        <f t="shared" ref="J70:J72" si="12">H70</f>
        <v>43.61</v>
      </c>
    </row>
    <row r="71" spans="1:10" x14ac:dyDescent="0.35">
      <c r="A71" s="8">
        <v>64</v>
      </c>
      <c r="B71" s="9" t="s">
        <v>73</v>
      </c>
      <c r="C71" s="8" t="s">
        <v>54</v>
      </c>
      <c r="D71" s="1">
        <v>34.020000000000003</v>
      </c>
      <c r="E71" s="8" t="s">
        <v>54</v>
      </c>
      <c r="F71" s="1">
        <f t="shared" si="11"/>
        <v>34.020000000000003</v>
      </c>
      <c r="G71" s="8" t="s">
        <v>54</v>
      </c>
      <c r="H71" s="1">
        <v>34.020000000000003</v>
      </c>
      <c r="I71" s="8" t="s">
        <v>54</v>
      </c>
      <c r="J71" s="1">
        <f t="shared" si="12"/>
        <v>34.020000000000003</v>
      </c>
    </row>
    <row r="72" spans="1:10" x14ac:dyDescent="0.35">
      <c r="A72" s="8">
        <v>65</v>
      </c>
      <c r="B72" s="9" t="s">
        <v>74</v>
      </c>
      <c r="C72" s="8" t="s">
        <v>54</v>
      </c>
      <c r="D72" s="1">
        <v>43.91</v>
      </c>
      <c r="E72" s="8" t="s">
        <v>54</v>
      </c>
      <c r="F72" s="1">
        <f t="shared" si="11"/>
        <v>43.91</v>
      </c>
      <c r="G72" s="8" t="s">
        <v>54</v>
      </c>
      <c r="H72" s="1">
        <v>43.91</v>
      </c>
      <c r="I72" s="8" t="s">
        <v>54</v>
      </c>
      <c r="J72" s="1">
        <f t="shared" si="12"/>
        <v>43.91</v>
      </c>
    </row>
    <row r="73" spans="1:10" x14ac:dyDescent="0.35">
      <c r="A73" s="8">
        <v>66</v>
      </c>
      <c r="B73" s="9" t="s">
        <v>75</v>
      </c>
      <c r="C73" s="8" t="s">
        <v>200</v>
      </c>
      <c r="D73" s="1">
        <v>1.94</v>
      </c>
      <c r="E73" s="8" t="s">
        <v>193</v>
      </c>
      <c r="F73" s="1" cm="1">
        <f t="array" ref="F73">_xlfn.IFS(C73="MPa (a)", D73*10,C73="MPa (g)",D73*10+$F$3,C73="bar(a)",D73, C73="bar (g)",D73+$F$3)</f>
        <v>1.94</v>
      </c>
      <c r="G73" s="8" t="s">
        <v>201</v>
      </c>
      <c r="H73" s="1">
        <v>1.94</v>
      </c>
      <c r="I73" s="8" t="s">
        <v>193</v>
      </c>
      <c r="J73" s="1" cm="1">
        <f t="array" ref="J73">_xlfn.IFS(G73="MPa (a)", H73*10,G73="MPa (g)",H73*10+$J$3,G73="bar(a)",H73, G73="bar (g)",H73+$J$3)</f>
        <v>2.9529999999999998</v>
      </c>
    </row>
    <row r="74" spans="1:10" x14ac:dyDescent="0.35">
      <c r="A74" s="8">
        <v>67</v>
      </c>
      <c r="B74" s="9" t="s">
        <v>76</v>
      </c>
      <c r="C74" s="8" t="s">
        <v>200</v>
      </c>
      <c r="D74" s="1">
        <v>1.1200000000000001</v>
      </c>
      <c r="E74" s="8" t="s">
        <v>193</v>
      </c>
      <c r="F74" s="1" cm="1">
        <f t="array" ref="F74">_xlfn.IFS(C74="MPa (a)", D74*10,C74="MPa (g)",D74*10+$F$3,C74="bar(a)",D74, C74="bar (g)",D74+$F$3)</f>
        <v>1.1200000000000001</v>
      </c>
      <c r="G74" s="8" t="s">
        <v>201</v>
      </c>
      <c r="H74" s="1">
        <v>1.1200000000000001</v>
      </c>
      <c r="I74" s="8" t="s">
        <v>193</v>
      </c>
      <c r="J74" s="1" cm="1">
        <f t="array" ref="J74">_xlfn.IFS(G74="MPa (a)", H74*10,G74="MPa (g)",H74*10+$J$3,G74="bar(a)",H74, G74="bar (g)",H74+$J$3)</f>
        <v>2.133</v>
      </c>
    </row>
    <row r="75" spans="1:10" x14ac:dyDescent="0.35">
      <c r="A75" s="8">
        <v>68</v>
      </c>
      <c r="B75" s="9" t="s">
        <v>77</v>
      </c>
      <c r="C75" s="8" t="s">
        <v>200</v>
      </c>
      <c r="D75" s="1">
        <v>2.1</v>
      </c>
      <c r="E75" s="8" t="s">
        <v>193</v>
      </c>
      <c r="F75" s="1" cm="1">
        <f t="array" ref="F75">_xlfn.IFS(C75="MPa (a)", D75*10,C75="MPa (g)",D75*10+$F$3,C75="bar(a)",D75, C75="bar (g)",D75+$F$3)</f>
        <v>2.1</v>
      </c>
      <c r="G75" s="8" t="s">
        <v>201</v>
      </c>
      <c r="H75" s="1">
        <v>2.1</v>
      </c>
      <c r="I75" s="8" t="s">
        <v>193</v>
      </c>
      <c r="J75" s="1" cm="1">
        <f t="array" ref="J75">_xlfn.IFS(G75="MPa (a)", H75*10,G75="MPa (g)",H75*10+$J$3,G75="bar(a)",H75, G75="bar (g)",H75+$J$3)</f>
        <v>3.113</v>
      </c>
    </row>
    <row r="76" spans="1:10" x14ac:dyDescent="0.35">
      <c r="A76" s="8">
        <v>69</v>
      </c>
      <c r="B76" s="9" t="s">
        <v>78</v>
      </c>
      <c r="C76" s="8" t="s">
        <v>200</v>
      </c>
      <c r="D76" s="1">
        <v>1.23</v>
      </c>
      <c r="E76" s="8" t="s">
        <v>193</v>
      </c>
      <c r="F76" s="1" cm="1">
        <f t="array" ref="F76">_xlfn.IFS(C76="MPa (a)", D76*10,C76="MPa (g)",D76*10+$F$3,C76="bar(a)",D76, C76="bar (g)",D76+$F$3)</f>
        <v>1.23</v>
      </c>
      <c r="G76" s="8" t="s">
        <v>201</v>
      </c>
      <c r="H76" s="1">
        <v>1.23</v>
      </c>
      <c r="I76" s="8" t="s">
        <v>193</v>
      </c>
      <c r="J76" s="1" cm="1">
        <f t="array" ref="J76">_xlfn.IFS(G76="MPa (a)", H76*10,G76="MPa (g)",H76*10+$J$3,G76="bar(a)",H76, G76="bar (g)",H76+$J$3)</f>
        <v>2.2429999999999999</v>
      </c>
    </row>
    <row r="77" spans="1:10" x14ac:dyDescent="0.35">
      <c r="A77" s="8">
        <v>70</v>
      </c>
      <c r="B77" s="9" t="s">
        <v>79</v>
      </c>
      <c r="C77" s="8" t="s">
        <v>200</v>
      </c>
      <c r="D77" s="1">
        <v>0.9</v>
      </c>
      <c r="E77" s="8" t="s">
        <v>193</v>
      </c>
      <c r="F77" s="1" cm="1">
        <f t="array" ref="F77">_xlfn.IFS(C77="MPa (a)", D77*10,C77="MPa (g)",D77*10+$F$3,C77="bar(a)",D77, C77="bar (g)",D77+$F$3)</f>
        <v>0.9</v>
      </c>
      <c r="G77" s="8" t="s">
        <v>201</v>
      </c>
      <c r="H77" s="1">
        <v>0.9</v>
      </c>
      <c r="I77" s="8" t="s">
        <v>193</v>
      </c>
      <c r="J77" s="1" cm="1">
        <f t="array" ref="J77">_xlfn.IFS(G77="MPa (a)", H77*10,G77="MPa (g)",H77*10+$J$3,G77="bar(a)",H77, G77="bar (g)",H77+$J$3)</f>
        <v>1.9129999999999998</v>
      </c>
    </row>
    <row r="78" spans="1:10" x14ac:dyDescent="0.35">
      <c r="A78" s="8">
        <v>71</v>
      </c>
      <c r="B78" s="9" t="s">
        <v>80</v>
      </c>
      <c r="C78" s="8" t="s">
        <v>200</v>
      </c>
      <c r="D78" s="1">
        <v>0.81</v>
      </c>
      <c r="E78" s="8" t="s">
        <v>193</v>
      </c>
      <c r="F78" s="1" cm="1">
        <f t="array" ref="F78">_xlfn.IFS(C78="MPa (a)", D78*10,C78="MPa (g)",D78*10+$F$3,C78="bar(a)",D78, C78="bar (g)",D78+$F$3)</f>
        <v>0.81</v>
      </c>
      <c r="G78" s="8" t="s">
        <v>201</v>
      </c>
      <c r="H78" s="1">
        <v>0.81</v>
      </c>
      <c r="I78" s="8" t="s">
        <v>193</v>
      </c>
      <c r="J78" s="1" cm="1">
        <f t="array" ref="J78">_xlfn.IFS(G78="MPa (a)", H78*10,G78="MPa (g)",H78*10+$J$3,G78="bar(a)",H78, G78="bar (g)",H78+$J$3)</f>
        <v>1.823</v>
      </c>
    </row>
    <row r="79" spans="1:10" x14ac:dyDescent="0.35">
      <c r="A79" s="8">
        <v>72</v>
      </c>
      <c r="B79" s="9" t="s">
        <v>81</v>
      </c>
      <c r="C79" s="8" t="s">
        <v>54</v>
      </c>
      <c r="D79" s="1">
        <v>48.79</v>
      </c>
      <c r="E79" s="8" t="s">
        <v>54</v>
      </c>
      <c r="F79" s="1">
        <f>D79</f>
        <v>48.79</v>
      </c>
      <c r="G79" s="8" t="s">
        <v>54</v>
      </c>
      <c r="H79" s="1">
        <v>48.79</v>
      </c>
      <c r="I79" s="8" t="s">
        <v>54</v>
      </c>
      <c r="J79" s="1">
        <f>H79</f>
        <v>48.79</v>
      </c>
    </row>
    <row r="80" spans="1:10" x14ac:dyDescent="0.35">
      <c r="A80" s="8">
        <v>73</v>
      </c>
      <c r="B80" s="9" t="s">
        <v>82</v>
      </c>
      <c r="C80" s="8" t="s">
        <v>54</v>
      </c>
      <c r="D80" s="1">
        <v>47.66</v>
      </c>
      <c r="E80" s="8" t="s">
        <v>54</v>
      </c>
      <c r="F80" s="1">
        <f>D80</f>
        <v>47.66</v>
      </c>
      <c r="G80" s="8" t="s">
        <v>54</v>
      </c>
      <c r="H80" s="1">
        <v>47.66</v>
      </c>
      <c r="I80" s="8" t="s">
        <v>54</v>
      </c>
      <c r="J80" s="1">
        <f>H80</f>
        <v>47.66</v>
      </c>
    </row>
    <row r="81" spans="1:10" x14ac:dyDescent="0.35">
      <c r="A81" s="8">
        <v>74</v>
      </c>
      <c r="B81" s="9" t="s">
        <v>83</v>
      </c>
      <c r="C81" s="8" t="s">
        <v>84</v>
      </c>
      <c r="D81" s="1">
        <v>194.59</v>
      </c>
      <c r="E81" s="8" t="s">
        <v>84</v>
      </c>
      <c r="F81" s="1">
        <f t="shared" ref="F81:F83" si="13">D81</f>
        <v>194.59</v>
      </c>
      <c r="G81" s="8" t="s">
        <v>84</v>
      </c>
      <c r="H81" s="1">
        <v>194.59</v>
      </c>
      <c r="I81" s="8" t="s">
        <v>84</v>
      </c>
      <c r="J81" s="1">
        <f t="shared" ref="J81:J83" si="14">H81</f>
        <v>194.59</v>
      </c>
    </row>
    <row r="82" spans="1:10" x14ac:dyDescent="0.35">
      <c r="A82" s="8">
        <v>75</v>
      </c>
      <c r="B82" s="9" t="s">
        <v>85</v>
      </c>
      <c r="C82" s="8" t="s">
        <v>84</v>
      </c>
      <c r="D82" s="1">
        <v>197.06</v>
      </c>
      <c r="E82" s="8" t="s">
        <v>84</v>
      </c>
      <c r="F82" s="1">
        <f t="shared" si="13"/>
        <v>197.06</v>
      </c>
      <c r="G82" s="8" t="s">
        <v>84</v>
      </c>
      <c r="H82" s="1">
        <v>197.06</v>
      </c>
      <c r="I82" s="8" t="s">
        <v>84</v>
      </c>
      <c r="J82" s="1">
        <f t="shared" si="14"/>
        <v>197.06</v>
      </c>
    </row>
    <row r="83" spans="1:10" x14ac:dyDescent="0.35">
      <c r="A83" s="8">
        <v>76</v>
      </c>
      <c r="B83" s="9" t="s">
        <v>86</v>
      </c>
      <c r="C83" s="8" t="s">
        <v>84</v>
      </c>
      <c r="D83" s="1">
        <v>-0.71</v>
      </c>
      <c r="E83" s="8" t="s">
        <v>84</v>
      </c>
      <c r="F83" s="1">
        <f t="shared" si="13"/>
        <v>-0.71</v>
      </c>
      <c r="G83" s="8" t="s">
        <v>84</v>
      </c>
      <c r="H83" s="1">
        <v>-0.71</v>
      </c>
      <c r="I83" s="8" t="s">
        <v>84</v>
      </c>
      <c r="J83" s="1">
        <f t="shared" si="14"/>
        <v>-0.71</v>
      </c>
    </row>
    <row r="84" spans="1:10" x14ac:dyDescent="0.35">
      <c r="A84" s="8">
        <v>77</v>
      </c>
      <c r="B84" s="9" t="s">
        <v>87</v>
      </c>
      <c r="C84" s="8" t="s">
        <v>200</v>
      </c>
      <c r="D84" s="1">
        <v>2.31</v>
      </c>
      <c r="E84" s="8" t="s">
        <v>193</v>
      </c>
      <c r="F84" s="1" cm="1">
        <f t="array" ref="F84">_xlfn.IFS(C84="MPa (a)", D84*10,C84="MPa (g)",D84*10+$F$3,C84="bar(a)",D84, C84="bar (g)",D84+$F$3)</f>
        <v>2.31</v>
      </c>
      <c r="G84" s="8" t="s">
        <v>201</v>
      </c>
      <c r="H84" s="1">
        <v>2.31</v>
      </c>
      <c r="I84" s="8" t="s">
        <v>193</v>
      </c>
      <c r="J84" s="1" cm="1">
        <f t="array" ref="J84">_xlfn.IFS(G84="MPa (a)", H84*10,G84="MPa (g)",H84*10+$J$3,G84="bar(a)",H84, G84="bar (g)",H84+$J$3)</f>
        <v>3.323</v>
      </c>
    </row>
    <row r="85" spans="1:10" x14ac:dyDescent="0.35">
      <c r="A85" s="8">
        <v>78</v>
      </c>
      <c r="B85" s="9" t="s">
        <v>88</v>
      </c>
      <c r="C85" s="8" t="s">
        <v>200</v>
      </c>
      <c r="D85" s="1">
        <v>2.34</v>
      </c>
      <c r="E85" s="8" t="s">
        <v>193</v>
      </c>
      <c r="F85" s="1" cm="1">
        <f t="array" ref="F85">_xlfn.IFS(C85="MPa (a)", D85*10,C85="MPa (g)",D85*10+$F$3,C85="bar(a)",D85, C85="bar (g)",D85+$F$3)</f>
        <v>2.34</v>
      </c>
      <c r="G85" s="8" t="s">
        <v>201</v>
      </c>
      <c r="H85" s="1">
        <v>2.34</v>
      </c>
      <c r="I85" s="8" t="s">
        <v>193</v>
      </c>
      <c r="J85" s="1" cm="1">
        <f t="array" ref="J85">_xlfn.IFS(G85="MPa (a)", H85*10,G85="MPa (g)",H85*10+$J$3,G85="bar(a)",H85, G85="bar (g)",H85+$J$3)</f>
        <v>3.3529999999999998</v>
      </c>
    </row>
    <row r="86" spans="1:10" x14ac:dyDescent="0.35">
      <c r="A86" s="8">
        <v>79</v>
      </c>
      <c r="B86" s="9" t="s">
        <v>89</v>
      </c>
      <c r="C86" s="8" t="s">
        <v>200</v>
      </c>
      <c r="D86" s="1">
        <v>7.0000000000000007E-2</v>
      </c>
      <c r="E86" s="8" t="s">
        <v>193</v>
      </c>
      <c r="F86" s="1" cm="1">
        <f t="array" ref="F86">_xlfn.IFS(C86="MPa (a)", D86*10,C86="MPa (g)",D86*10+$F$3,C86="bar(a)",D86, C86="bar (g)",D86+$F$3)</f>
        <v>7.0000000000000007E-2</v>
      </c>
      <c r="G86" s="8" t="s">
        <v>201</v>
      </c>
      <c r="H86" s="1">
        <v>7.0000000000000007E-2</v>
      </c>
      <c r="I86" s="8" t="s">
        <v>193</v>
      </c>
      <c r="J86" s="1" cm="1">
        <f t="array" ref="J86">_xlfn.IFS(G86="MPa (a)", H86*10,G86="MPa (g)",H86*10+$J$3,G86="bar(a)",H86, G86="bar (g)",H86+$J$3)</f>
        <v>1.083</v>
      </c>
    </row>
    <row r="87" spans="1:10" x14ac:dyDescent="0.35">
      <c r="A87" s="8"/>
      <c r="B87" s="10" t="s">
        <v>90</v>
      </c>
      <c r="C87" s="8"/>
      <c r="D87" s="1"/>
      <c r="E87" s="8"/>
      <c r="F87" s="1"/>
      <c r="G87" s="8"/>
      <c r="H87" s="1"/>
      <c r="I87" s="8"/>
      <c r="J87" s="11"/>
    </row>
    <row r="88" spans="1:10" x14ac:dyDescent="0.35">
      <c r="A88" s="8">
        <v>80</v>
      </c>
      <c r="B88" s="9" t="s">
        <v>91</v>
      </c>
      <c r="C88" s="8" t="s">
        <v>200</v>
      </c>
      <c r="D88" s="1">
        <v>2.21</v>
      </c>
      <c r="E88" s="8" t="s">
        <v>193</v>
      </c>
      <c r="F88" s="1" cm="1">
        <f t="array" ref="F88">_xlfn.IFS(C88="MPa (a)", D88*10,C88="MPa (g)",D88*10+$F$3,C88="bar(a)",D88, C88="bar (g)",D88+$F$3)</f>
        <v>2.21</v>
      </c>
      <c r="G88" s="8" t="s">
        <v>201</v>
      </c>
      <c r="H88" s="1">
        <v>1.33</v>
      </c>
      <c r="I88" s="8" t="s">
        <v>193</v>
      </c>
      <c r="J88" s="1" cm="1">
        <f t="array" ref="J88">_xlfn.IFS(G88="MPa (a)", H88*10,G88="MPa (g)",H88*10+$J$3,G88="bar(a)",H88, G88="bar (g)",H88+$J$3)</f>
        <v>2.343</v>
      </c>
    </row>
    <row r="89" spans="1:10" x14ac:dyDescent="0.35">
      <c r="A89" s="8">
        <v>81</v>
      </c>
      <c r="B89" s="9" t="s">
        <v>92</v>
      </c>
      <c r="C89" s="8" t="s">
        <v>54</v>
      </c>
      <c r="D89" s="1">
        <v>47.34</v>
      </c>
      <c r="E89" s="8" t="s">
        <v>54</v>
      </c>
      <c r="F89" s="1">
        <f>D89</f>
        <v>47.34</v>
      </c>
      <c r="G89" s="8" t="s">
        <v>54</v>
      </c>
      <c r="H89" s="1">
        <v>49.97</v>
      </c>
      <c r="I89" s="8" t="s">
        <v>54</v>
      </c>
      <c r="J89" s="1">
        <f>H89</f>
        <v>49.97</v>
      </c>
    </row>
    <row r="90" spans="1:10" x14ac:dyDescent="0.35">
      <c r="A90" s="8">
        <v>82</v>
      </c>
      <c r="B90" s="9" t="s">
        <v>93</v>
      </c>
      <c r="C90" s="8" t="s">
        <v>54</v>
      </c>
      <c r="D90" s="1">
        <v>59.1</v>
      </c>
      <c r="E90" s="8" t="s">
        <v>54</v>
      </c>
      <c r="F90" s="1">
        <f t="shared" ref="F90:F97" si="15">D90</f>
        <v>59.1</v>
      </c>
      <c r="G90" s="8" t="s">
        <v>54</v>
      </c>
      <c r="H90" s="1">
        <v>55</v>
      </c>
      <c r="I90" s="8" t="s">
        <v>54</v>
      </c>
      <c r="J90" s="1">
        <f t="shared" ref="J90:J97" si="16">H90</f>
        <v>55</v>
      </c>
    </row>
    <row r="91" spans="1:10" x14ac:dyDescent="0.35">
      <c r="A91" s="8">
        <v>83</v>
      </c>
      <c r="B91" s="9" t="s">
        <v>94</v>
      </c>
      <c r="C91" s="8" t="s">
        <v>54</v>
      </c>
      <c r="D91" s="1">
        <v>86.46</v>
      </c>
      <c r="E91" s="8" t="s">
        <v>54</v>
      </c>
      <c r="F91" s="1">
        <f t="shared" si="15"/>
        <v>86.46</v>
      </c>
      <c r="G91" s="8" t="s">
        <v>54</v>
      </c>
      <c r="H91" s="1">
        <v>85.32</v>
      </c>
      <c r="I91" s="8" t="s">
        <v>54</v>
      </c>
      <c r="J91" s="1">
        <f t="shared" si="16"/>
        <v>85.32</v>
      </c>
    </row>
    <row r="92" spans="1:10" x14ac:dyDescent="0.35">
      <c r="A92" s="8">
        <v>84</v>
      </c>
      <c r="B92" s="9" t="s">
        <v>95</v>
      </c>
      <c r="C92" s="8" t="s">
        <v>54</v>
      </c>
      <c r="D92" s="1">
        <v>107.6</v>
      </c>
      <c r="E92" s="8" t="s">
        <v>54</v>
      </c>
      <c r="F92" s="1">
        <f t="shared" si="15"/>
        <v>107.6</v>
      </c>
      <c r="G92" s="8" t="s">
        <v>54</v>
      </c>
      <c r="H92" s="1">
        <v>107.16</v>
      </c>
      <c r="I92" s="8" t="s">
        <v>54</v>
      </c>
      <c r="J92" s="1">
        <f t="shared" si="16"/>
        <v>107.16</v>
      </c>
    </row>
    <row r="93" spans="1:10" x14ac:dyDescent="0.35">
      <c r="A93" s="8">
        <v>85</v>
      </c>
      <c r="B93" s="9" t="s">
        <v>96</v>
      </c>
      <c r="C93" s="8" t="s">
        <v>54</v>
      </c>
      <c r="D93" s="1">
        <v>138.69999999999999</v>
      </c>
      <c r="E93" s="8" t="s">
        <v>54</v>
      </c>
      <c r="F93" s="1">
        <f t="shared" si="15"/>
        <v>138.69999999999999</v>
      </c>
      <c r="G93" s="8" t="s">
        <v>54</v>
      </c>
      <c r="H93" s="1">
        <v>138.5</v>
      </c>
      <c r="I93" s="8" t="s">
        <v>54</v>
      </c>
      <c r="J93" s="1">
        <f t="shared" si="16"/>
        <v>138.5</v>
      </c>
    </row>
    <row r="94" spans="1:10" x14ac:dyDescent="0.35">
      <c r="A94" s="8">
        <v>86</v>
      </c>
      <c r="B94" s="9" t="s">
        <v>97</v>
      </c>
      <c r="C94" s="8" t="s">
        <v>54</v>
      </c>
      <c r="D94" s="1">
        <v>52.9</v>
      </c>
      <c r="E94" s="8" t="s">
        <v>54</v>
      </c>
      <c r="F94" s="1">
        <f t="shared" si="15"/>
        <v>52.9</v>
      </c>
      <c r="G94" s="8" t="s">
        <v>54</v>
      </c>
      <c r="H94" s="1">
        <v>57.5</v>
      </c>
      <c r="I94" s="8" t="s">
        <v>54</v>
      </c>
      <c r="J94" s="1">
        <f t="shared" si="16"/>
        <v>57.5</v>
      </c>
    </row>
    <row r="95" spans="1:10" x14ac:dyDescent="0.35">
      <c r="A95" s="8">
        <v>87</v>
      </c>
      <c r="B95" s="9" t="s">
        <v>98</v>
      </c>
      <c r="C95" s="8" t="s">
        <v>54</v>
      </c>
      <c r="D95" s="1">
        <v>64.650000000000006</v>
      </c>
      <c r="E95" s="8" t="s">
        <v>54</v>
      </c>
      <c r="F95" s="1">
        <f t="shared" si="15"/>
        <v>64.650000000000006</v>
      </c>
      <c r="G95" s="8" t="s">
        <v>54</v>
      </c>
      <c r="H95" s="1">
        <v>70.98</v>
      </c>
      <c r="I95" s="8" t="s">
        <v>54</v>
      </c>
      <c r="J95" s="1">
        <f t="shared" si="16"/>
        <v>70.98</v>
      </c>
    </row>
    <row r="96" spans="1:10" x14ac:dyDescent="0.35">
      <c r="A96" s="8">
        <v>88</v>
      </c>
      <c r="B96" s="9" t="s">
        <v>99</v>
      </c>
      <c r="C96" s="8" t="s">
        <v>54</v>
      </c>
      <c r="D96" s="1">
        <v>92.02</v>
      </c>
      <c r="E96" s="8" t="s">
        <v>54</v>
      </c>
      <c r="F96" s="1">
        <f t="shared" si="15"/>
        <v>92.02</v>
      </c>
      <c r="G96" s="8" t="s">
        <v>54</v>
      </c>
      <c r="H96" s="1">
        <v>94.17</v>
      </c>
      <c r="I96" s="8" t="s">
        <v>54</v>
      </c>
      <c r="J96" s="1">
        <f t="shared" si="16"/>
        <v>94.17</v>
      </c>
    </row>
    <row r="97" spans="1:10" x14ac:dyDescent="0.35">
      <c r="A97" s="8">
        <v>89</v>
      </c>
      <c r="B97" s="9" t="s">
        <v>100</v>
      </c>
      <c r="C97" s="8" t="s">
        <v>54</v>
      </c>
      <c r="D97" s="1">
        <v>113.1</v>
      </c>
      <c r="E97" s="8" t="s">
        <v>54</v>
      </c>
      <c r="F97" s="1">
        <f t="shared" si="15"/>
        <v>113.1</v>
      </c>
      <c r="G97" s="8" t="s">
        <v>54</v>
      </c>
      <c r="H97" s="1">
        <v>120.7</v>
      </c>
      <c r="I97" s="8" t="s">
        <v>54</v>
      </c>
      <c r="J97" s="1">
        <f t="shared" si="16"/>
        <v>120.7</v>
      </c>
    </row>
    <row r="98" spans="1:10" x14ac:dyDescent="0.35">
      <c r="A98" s="8">
        <v>90</v>
      </c>
      <c r="B98" s="9" t="s">
        <v>101</v>
      </c>
      <c r="C98" s="8" t="s">
        <v>200</v>
      </c>
      <c r="D98" s="1">
        <v>3.7679999999999998</v>
      </c>
      <c r="E98" s="8" t="s">
        <v>193</v>
      </c>
      <c r="F98" s="1" cm="1">
        <f t="array" ref="F98">_xlfn.IFS(C98="MPa (a)", D98*10,C98="MPa (g)",D98*10+$F$3,C98="bar(a)",D98, C98="bar (g)",D98+$F$3)</f>
        <v>3.7679999999999998</v>
      </c>
      <c r="G98" s="8" t="s">
        <v>200</v>
      </c>
      <c r="H98" s="1">
        <v>3.9670000000000001</v>
      </c>
      <c r="I98" s="8" t="s">
        <v>193</v>
      </c>
      <c r="J98" s="1" cm="1">
        <f t="array" ref="J98">_xlfn.IFS(G98="MPa (a)", H98*10,G98="MPa (g)",H98*10+$J$3,G98="bar(a)",H98, G98="bar (g)",H98+$J$3)</f>
        <v>3.9670000000000001</v>
      </c>
    </row>
    <row r="99" spans="1:10" x14ac:dyDescent="0.35">
      <c r="A99" s="8">
        <v>91</v>
      </c>
      <c r="B99" s="9" t="s">
        <v>102</v>
      </c>
      <c r="C99" s="8" t="s">
        <v>54</v>
      </c>
      <c r="D99" s="1">
        <v>257.08999999999997</v>
      </c>
      <c r="E99" s="8" t="s">
        <v>54</v>
      </c>
      <c r="F99" s="1">
        <f>D99</f>
        <v>257.08999999999997</v>
      </c>
      <c r="G99" s="8" t="s">
        <v>54</v>
      </c>
      <c r="H99" s="1">
        <v>272.17</v>
      </c>
      <c r="I99" s="8" t="s">
        <v>54</v>
      </c>
      <c r="J99" s="14">
        <f>H99</f>
        <v>272.17</v>
      </c>
    </row>
    <row r="100" spans="1:10" x14ac:dyDescent="0.35">
      <c r="A100" s="8">
        <v>92</v>
      </c>
      <c r="B100" s="9" t="s">
        <v>103</v>
      </c>
      <c r="C100" s="8" t="s">
        <v>200</v>
      </c>
      <c r="D100" s="1">
        <v>1.4490000000000001</v>
      </c>
      <c r="E100" s="8" t="s">
        <v>193</v>
      </c>
      <c r="F100" s="1" cm="1">
        <f t="array" ref="F100">_xlfn.IFS(C100="MPa (a)", D100*10,C100="MPa (g)",D100*10+$F$3,C100="bar(a)",D100, C100="bar (g)",D100+$F$3)</f>
        <v>1.4490000000000001</v>
      </c>
      <c r="G100" s="8" t="s">
        <v>200</v>
      </c>
      <c r="H100" s="1">
        <v>1.5249999999999999</v>
      </c>
      <c r="I100" s="8" t="s">
        <v>193</v>
      </c>
      <c r="J100" s="1" cm="1">
        <f t="array" ref="J100">_xlfn.IFS(G100="MPa (a)", H100*10,G100="MPa (g)",H100*10+$J$3,G100="bar(a)",H100, G100="bar (g)",H100+$J$3)</f>
        <v>1.5249999999999999</v>
      </c>
    </row>
    <row r="101" spans="1:10" x14ac:dyDescent="0.35">
      <c r="A101" s="8">
        <v>93</v>
      </c>
      <c r="B101" s="9" t="s">
        <v>104</v>
      </c>
      <c r="C101" s="8" t="s">
        <v>54</v>
      </c>
      <c r="D101" s="1">
        <v>156.459</v>
      </c>
      <c r="E101" s="8" t="s">
        <v>54</v>
      </c>
      <c r="F101" s="1">
        <f>D101</f>
        <v>156.459</v>
      </c>
      <c r="G101" s="8" t="s">
        <v>54</v>
      </c>
      <c r="H101" s="1">
        <v>194.96</v>
      </c>
      <c r="I101" s="8" t="s">
        <v>54</v>
      </c>
      <c r="J101" s="14">
        <f>H101</f>
        <v>194.96</v>
      </c>
    </row>
    <row r="102" spans="1:10" x14ac:dyDescent="0.35">
      <c r="A102" s="8">
        <v>94</v>
      </c>
      <c r="B102" s="9" t="s">
        <v>105</v>
      </c>
      <c r="C102" s="8" t="s">
        <v>54</v>
      </c>
      <c r="D102" s="1">
        <v>89.976100000000002</v>
      </c>
      <c r="E102" s="8" t="s">
        <v>54</v>
      </c>
      <c r="F102" s="1">
        <f>D102</f>
        <v>89.976100000000002</v>
      </c>
      <c r="G102" s="8" t="s">
        <v>54</v>
      </c>
      <c r="H102" s="1">
        <v>125.44</v>
      </c>
      <c r="I102" s="8" t="s">
        <v>54</v>
      </c>
      <c r="J102" s="14">
        <f>H102</f>
        <v>125.44</v>
      </c>
    </row>
    <row r="103" spans="1:10" x14ac:dyDescent="0.35">
      <c r="A103" s="8">
        <v>95</v>
      </c>
      <c r="B103" s="9" t="s">
        <v>106</v>
      </c>
      <c r="C103" s="8" t="s">
        <v>200</v>
      </c>
      <c r="D103" s="1">
        <v>0.68110000000000004</v>
      </c>
      <c r="E103" s="8" t="s">
        <v>193</v>
      </c>
      <c r="F103" s="1" cm="1">
        <f t="array" ref="F103">_xlfn.IFS(C103="MPa (a)", D103*10,C103="MPa (g)",D103*10+$F$3,C103="bar(a)",D103, C103="bar (g)",D103+$F$3)</f>
        <v>0.68110000000000004</v>
      </c>
      <c r="G103" s="8" t="s">
        <v>200</v>
      </c>
      <c r="H103" s="1">
        <v>0.71389999999999998</v>
      </c>
      <c r="I103" s="8" t="s">
        <v>193</v>
      </c>
      <c r="J103" s="1" cm="1">
        <f t="array" ref="J103">_xlfn.IFS(G103="MPa (a)", H103*10,G103="MPa (g)",H103*10+$J$3,G103="bar(a)",H103, G103="bar (g)",H103+$J$3)</f>
        <v>0.71389999999999998</v>
      </c>
    </row>
    <row r="104" spans="1:10" x14ac:dyDescent="0.35">
      <c r="A104" s="8">
        <v>96</v>
      </c>
      <c r="B104" s="9" t="s">
        <v>107</v>
      </c>
      <c r="C104" s="8" t="s">
        <v>54</v>
      </c>
      <c r="D104" s="1">
        <v>61.87</v>
      </c>
      <c r="E104" s="8" t="s">
        <v>54</v>
      </c>
      <c r="F104" s="1">
        <f>D104</f>
        <v>61.87</v>
      </c>
      <c r="G104" s="8" t="s">
        <v>54</v>
      </c>
      <c r="H104" s="1">
        <v>66.61</v>
      </c>
      <c r="I104" s="8" t="s">
        <v>54</v>
      </c>
      <c r="J104" s="14">
        <f>H104</f>
        <v>66.61</v>
      </c>
    </row>
    <row r="105" spans="1:10" x14ac:dyDescent="0.35">
      <c r="A105" s="8">
        <v>97</v>
      </c>
      <c r="B105" s="9" t="s">
        <v>108</v>
      </c>
      <c r="C105" s="8" t="s">
        <v>200</v>
      </c>
      <c r="D105" s="1">
        <v>0.2172</v>
      </c>
      <c r="E105" s="8" t="s">
        <v>193</v>
      </c>
      <c r="F105" s="1" cm="1">
        <f t="array" ref="F105">_xlfn.IFS(C105="MPa (a)", D105*10,C105="MPa (g)",D105*10+$F$3,C105="bar(a)",D105, C105="bar (g)",D105+$F$3)</f>
        <v>0.2172</v>
      </c>
      <c r="G105" s="8" t="s">
        <v>200</v>
      </c>
      <c r="H105" s="1">
        <v>0.22770000000000001</v>
      </c>
      <c r="I105" s="8" t="s">
        <v>193</v>
      </c>
      <c r="J105" s="1" cm="1">
        <f t="array" ref="J105">_xlfn.IFS(G105="MPa (a)", H105*10,G105="MPa (g)",H105*10+$J$3,G105="bar(a)",H105, G105="bar (g)",H105+$J$3)</f>
        <v>0.22770000000000001</v>
      </c>
    </row>
    <row r="106" spans="1:10" x14ac:dyDescent="0.35">
      <c r="A106" s="8">
        <v>98</v>
      </c>
      <c r="B106" s="9" t="s">
        <v>109</v>
      </c>
      <c r="C106" s="8" t="s">
        <v>202</v>
      </c>
      <c r="D106" s="1">
        <v>832.42</v>
      </c>
      <c r="E106" s="8" t="s">
        <v>202</v>
      </c>
      <c r="F106" s="1" cm="1">
        <f t="array" ref="F106">_xlfn.IFS(C106="kPa (a)",D106,C106="kPa (g)",D106+$F$3/100)</f>
        <v>832.42</v>
      </c>
      <c r="G106" s="8" t="s">
        <v>202</v>
      </c>
      <c r="H106" s="1">
        <v>832.42</v>
      </c>
      <c r="I106" s="8" t="s">
        <v>202</v>
      </c>
      <c r="J106" s="1" cm="1">
        <f t="array" ref="J106">_xlfn.IFS(G106="kPa (a)",H106,G106="kPa (g)",H106+$J$3/100)</f>
        <v>832.42</v>
      </c>
    </row>
    <row r="107" spans="1:10" x14ac:dyDescent="0.35">
      <c r="A107" s="8">
        <v>99</v>
      </c>
      <c r="B107" s="9" t="s">
        <v>110</v>
      </c>
      <c r="C107" s="8" t="s">
        <v>54</v>
      </c>
      <c r="D107" s="1">
        <v>357.5</v>
      </c>
      <c r="E107" s="8" t="s">
        <v>54</v>
      </c>
      <c r="F107" s="1">
        <f>D107</f>
        <v>357.5</v>
      </c>
      <c r="G107" s="8" t="s">
        <v>54</v>
      </c>
      <c r="H107" s="1">
        <v>357.5</v>
      </c>
      <c r="I107" s="8" t="s">
        <v>54</v>
      </c>
      <c r="J107" s="14">
        <f>H107</f>
        <v>357.5</v>
      </c>
    </row>
    <row r="108" spans="1:10" x14ac:dyDescent="0.35">
      <c r="A108" s="8"/>
      <c r="B108" s="10" t="s">
        <v>111</v>
      </c>
      <c r="C108" s="8"/>
      <c r="D108" s="1"/>
      <c r="E108" s="8"/>
      <c r="F108" s="1"/>
      <c r="G108" s="8"/>
      <c r="H108" s="1"/>
      <c r="I108" s="8"/>
      <c r="J108" s="11"/>
    </row>
    <row r="109" spans="1:10" x14ac:dyDescent="0.35">
      <c r="A109" s="8">
        <v>100</v>
      </c>
      <c r="B109" s="9" t="s">
        <v>112</v>
      </c>
      <c r="C109" s="8" t="s">
        <v>84</v>
      </c>
      <c r="D109" s="1">
        <v>387.66</v>
      </c>
      <c r="E109" s="8" t="s">
        <v>84</v>
      </c>
      <c r="F109" s="1">
        <f>D109</f>
        <v>387.66</v>
      </c>
      <c r="G109" s="8" t="s">
        <v>84</v>
      </c>
      <c r="H109" s="1">
        <v>387.66</v>
      </c>
      <c r="I109" s="8" t="s">
        <v>84</v>
      </c>
      <c r="J109" s="14">
        <f t="shared" ref="J109:J115" si="17">H109</f>
        <v>387.66</v>
      </c>
    </row>
    <row r="110" spans="1:10" x14ac:dyDescent="0.35">
      <c r="A110" s="8">
        <v>101</v>
      </c>
      <c r="B110" s="9" t="s">
        <v>113</v>
      </c>
      <c r="C110" s="8" t="s">
        <v>84</v>
      </c>
      <c r="D110" s="1">
        <v>376.89</v>
      </c>
      <c r="E110" s="8" t="s">
        <v>84</v>
      </c>
      <c r="F110" s="1">
        <f t="shared" ref="F110:F115" si="18">D110</f>
        <v>376.89</v>
      </c>
      <c r="G110" s="8" t="s">
        <v>84</v>
      </c>
      <c r="H110" s="1">
        <v>376.89</v>
      </c>
      <c r="I110" s="8" t="s">
        <v>84</v>
      </c>
      <c r="J110" s="14">
        <f t="shared" si="17"/>
        <v>376.89</v>
      </c>
    </row>
    <row r="111" spans="1:10" x14ac:dyDescent="0.35">
      <c r="A111" s="8">
        <v>102</v>
      </c>
      <c r="B111" s="9" t="s">
        <v>114</v>
      </c>
      <c r="C111" s="8" t="s">
        <v>84</v>
      </c>
      <c r="D111" s="1">
        <v>-1.72</v>
      </c>
      <c r="E111" s="8" t="s">
        <v>84</v>
      </c>
      <c r="F111" s="1">
        <f t="shared" si="18"/>
        <v>-1.72</v>
      </c>
      <c r="G111" s="8" t="s">
        <v>84</v>
      </c>
      <c r="H111" s="1">
        <v>-1.72</v>
      </c>
      <c r="I111" s="8" t="s">
        <v>84</v>
      </c>
      <c r="J111" s="14">
        <f t="shared" si="17"/>
        <v>-1.72</v>
      </c>
    </row>
    <row r="112" spans="1:10" x14ac:dyDescent="0.35">
      <c r="A112" s="8">
        <v>103</v>
      </c>
      <c r="B112" s="9" t="s">
        <v>115</v>
      </c>
      <c r="C112" s="8" t="s">
        <v>54</v>
      </c>
      <c r="D112" s="1">
        <v>173.51</v>
      </c>
      <c r="E112" s="8" t="s">
        <v>54</v>
      </c>
      <c r="F112" s="1">
        <f t="shared" si="18"/>
        <v>173.51</v>
      </c>
      <c r="G112" s="8" t="s">
        <v>54</v>
      </c>
      <c r="H112" s="1">
        <v>173.51</v>
      </c>
      <c r="I112" s="8" t="s">
        <v>54</v>
      </c>
      <c r="J112" s="14">
        <f t="shared" si="17"/>
        <v>173.51</v>
      </c>
    </row>
    <row r="113" spans="1:10" x14ac:dyDescent="0.35">
      <c r="A113" s="8">
        <v>104</v>
      </c>
      <c r="B113" s="9" t="s">
        <v>116</v>
      </c>
      <c r="C113" s="8" t="s">
        <v>54</v>
      </c>
      <c r="D113" s="1">
        <v>172.13</v>
      </c>
      <c r="E113" s="8" t="s">
        <v>54</v>
      </c>
      <c r="F113" s="1">
        <f t="shared" si="18"/>
        <v>172.13</v>
      </c>
      <c r="G113" s="8" t="s">
        <v>54</v>
      </c>
      <c r="H113" s="1">
        <v>172.13</v>
      </c>
      <c r="I113" s="8" t="s">
        <v>54</v>
      </c>
      <c r="J113" s="14">
        <f t="shared" si="17"/>
        <v>172.13</v>
      </c>
    </row>
    <row r="114" spans="1:10" x14ac:dyDescent="0.35">
      <c r="A114" s="8">
        <v>105</v>
      </c>
      <c r="B114" s="9" t="s">
        <v>117</v>
      </c>
      <c r="C114" s="8" t="s">
        <v>54</v>
      </c>
      <c r="D114" s="1">
        <v>72.19</v>
      </c>
      <c r="E114" s="8" t="s">
        <v>54</v>
      </c>
      <c r="F114" s="1">
        <f t="shared" si="18"/>
        <v>72.19</v>
      </c>
      <c r="G114" s="8" t="s">
        <v>54</v>
      </c>
      <c r="H114" s="1">
        <v>72.19</v>
      </c>
      <c r="I114" s="8" t="s">
        <v>54</v>
      </c>
      <c r="J114" s="14">
        <f t="shared" si="17"/>
        <v>72.19</v>
      </c>
    </row>
    <row r="115" spans="1:10" x14ac:dyDescent="0.35">
      <c r="A115" s="8">
        <v>106</v>
      </c>
      <c r="B115" s="9" t="s">
        <v>187</v>
      </c>
      <c r="C115" s="8" t="s">
        <v>54</v>
      </c>
      <c r="D115" s="1">
        <f>AVERAGE(D112:D113)</f>
        <v>172.82</v>
      </c>
      <c r="E115" s="8" t="s">
        <v>54</v>
      </c>
      <c r="F115" s="1">
        <f t="shared" si="18"/>
        <v>172.82</v>
      </c>
      <c r="G115" s="8" t="s">
        <v>54</v>
      </c>
      <c r="H115" s="1">
        <f>AVERAGE(H112:H113)</f>
        <v>172.82</v>
      </c>
      <c r="I115" s="8" t="s">
        <v>54</v>
      </c>
      <c r="J115" s="14">
        <f t="shared" si="17"/>
        <v>172.82</v>
      </c>
    </row>
    <row r="116" spans="1:10" x14ac:dyDescent="0.35">
      <c r="A116" s="8">
        <v>107</v>
      </c>
      <c r="B116" s="9" t="s">
        <v>118</v>
      </c>
      <c r="C116" s="8" t="s">
        <v>8</v>
      </c>
      <c r="D116" s="1">
        <v>479.04</v>
      </c>
      <c r="E116" s="8" t="s">
        <v>199</v>
      </c>
      <c r="F116" s="1">
        <f>D116*1000</f>
        <v>479040</v>
      </c>
      <c r="G116" s="8" t="s">
        <v>8</v>
      </c>
      <c r="H116" s="1">
        <v>479.04</v>
      </c>
      <c r="I116" s="8" t="s">
        <v>199</v>
      </c>
      <c r="J116" s="1">
        <f>H116*1000</f>
        <v>479040</v>
      </c>
    </row>
    <row r="117" spans="1:10" x14ac:dyDescent="0.35">
      <c r="A117" s="8">
        <v>108</v>
      </c>
      <c r="B117" s="9" t="s">
        <v>119</v>
      </c>
      <c r="C117" s="8" t="s">
        <v>8</v>
      </c>
      <c r="D117" s="1">
        <v>472.06</v>
      </c>
      <c r="E117" s="8" t="s">
        <v>199</v>
      </c>
      <c r="F117" s="1">
        <f t="shared" ref="F117:F118" si="19">D117*1000</f>
        <v>472060</v>
      </c>
      <c r="G117" s="8" t="s">
        <v>8</v>
      </c>
      <c r="H117" s="1">
        <v>472.06</v>
      </c>
      <c r="I117" s="8" t="s">
        <v>199</v>
      </c>
      <c r="J117" s="1">
        <f t="shared" ref="J117:J118" si="20">H117*1000</f>
        <v>472060</v>
      </c>
    </row>
    <row r="118" spans="1:10" x14ac:dyDescent="0.35">
      <c r="A118" s="8">
        <v>109</v>
      </c>
      <c r="B118" s="9" t="s">
        <v>120</v>
      </c>
      <c r="C118" s="8" t="s">
        <v>8</v>
      </c>
      <c r="D118" s="1">
        <v>0</v>
      </c>
      <c r="E118" s="8" t="s">
        <v>199</v>
      </c>
      <c r="F118" s="1">
        <f t="shared" si="19"/>
        <v>0</v>
      </c>
      <c r="G118" s="8" t="s">
        <v>8</v>
      </c>
      <c r="H118" s="1">
        <v>0</v>
      </c>
      <c r="I118" s="8" t="s">
        <v>199</v>
      </c>
      <c r="J118" s="1">
        <f t="shared" si="20"/>
        <v>0</v>
      </c>
    </row>
    <row r="119" spans="1:10" x14ac:dyDescent="0.35">
      <c r="A119" s="8">
        <v>110</v>
      </c>
      <c r="B119" s="9" t="s">
        <v>121</v>
      </c>
      <c r="C119" s="8" t="s">
        <v>197</v>
      </c>
      <c r="D119" s="1">
        <v>1.52</v>
      </c>
      <c r="E119" s="8" t="s">
        <v>193</v>
      </c>
      <c r="F119" s="1" cm="1">
        <f t="array" ref="F119">_xlfn.IFS(C119="MPa (a)", D119*10,C119="MPa (g)",D119*10+$F$3,C119="bar(a)",D119, C119="bar (g)",D119+$F$3)</f>
        <v>15.2</v>
      </c>
      <c r="G119" s="8" t="s">
        <v>197</v>
      </c>
      <c r="H119" s="1">
        <v>1.52</v>
      </c>
      <c r="I119" s="8" t="s">
        <v>193</v>
      </c>
      <c r="J119" s="1" cm="1">
        <f t="array" ref="J119">_xlfn.IFS(G119="MPa (a)", H119*10,G119="MPa (g)",H119*10+$J$3,G119="bar(a)",H119, G119="bar (g)",H119+$J$3)</f>
        <v>15.2</v>
      </c>
    </row>
    <row r="120" spans="1:10" x14ac:dyDescent="0.35">
      <c r="A120" s="8">
        <v>111</v>
      </c>
      <c r="B120" s="9" t="s">
        <v>122</v>
      </c>
      <c r="C120" s="8" t="s">
        <v>197</v>
      </c>
      <c r="D120" s="1">
        <v>1.51</v>
      </c>
      <c r="E120" s="8" t="s">
        <v>193</v>
      </c>
      <c r="F120" s="1" cm="1">
        <f t="array" ref="F120">_xlfn.IFS(C120="MPa (a)", D120*10,C120="MPa (g)",D120*10+$F$3,C120="bar(a)",D120, C120="bar (g)",D120+$F$3)</f>
        <v>15.1</v>
      </c>
      <c r="G120" s="8" t="s">
        <v>197</v>
      </c>
      <c r="H120" s="1">
        <v>1.51</v>
      </c>
      <c r="I120" s="8" t="s">
        <v>193</v>
      </c>
      <c r="J120" s="1" cm="1">
        <f t="array" ref="J120">_xlfn.IFS(G120="MPa (a)", H120*10,G120="MPa (g)",H120*10+$J$3,G120="bar(a)",H120, G120="bar (g)",H120+$J$3)</f>
        <v>15.1</v>
      </c>
    </row>
    <row r="121" spans="1:10" x14ac:dyDescent="0.35">
      <c r="A121" s="8">
        <v>112</v>
      </c>
      <c r="B121" s="9" t="s">
        <v>123</v>
      </c>
      <c r="C121" s="8" t="s">
        <v>197</v>
      </c>
      <c r="D121" s="1">
        <v>1</v>
      </c>
      <c r="E121" s="8" t="s">
        <v>193</v>
      </c>
      <c r="F121" s="1" cm="1">
        <f t="array" ref="F121">_xlfn.IFS(C121="MPa (a)", D121*10,C121="MPa (g)",D121*10+$F$3,C121="bar(a)",D121, C121="bar (g)",D121+$F$3)</f>
        <v>10</v>
      </c>
      <c r="G121" s="8" t="s">
        <v>197</v>
      </c>
      <c r="H121" s="1">
        <v>1</v>
      </c>
      <c r="I121" s="8" t="s">
        <v>193</v>
      </c>
      <c r="J121" s="1" cm="1">
        <f t="array" ref="J121">_xlfn.IFS(G121="MPa (a)", H121*10,G121="MPa (g)",H121*10+$J$3,G121="bar(a)",H121, G121="bar (g)",H121+$J$3)</f>
        <v>10</v>
      </c>
    </row>
    <row r="122" spans="1:10" x14ac:dyDescent="0.35">
      <c r="A122" s="8">
        <v>113</v>
      </c>
      <c r="B122" s="9" t="s">
        <v>124</v>
      </c>
      <c r="C122" s="8" t="s">
        <v>125</v>
      </c>
      <c r="D122" s="1">
        <v>66.17</v>
      </c>
      <c r="E122" s="8" t="s">
        <v>125</v>
      </c>
      <c r="F122" s="1">
        <f>D122</f>
        <v>66.17</v>
      </c>
      <c r="G122" s="8" t="s">
        <v>125</v>
      </c>
      <c r="H122" s="1">
        <v>66.17</v>
      </c>
      <c r="I122" s="8" t="s">
        <v>125</v>
      </c>
      <c r="J122" s="14">
        <f t="shared" ref="J122:J127" si="21">H122</f>
        <v>66.17</v>
      </c>
    </row>
    <row r="123" spans="1:10" x14ac:dyDescent="0.35">
      <c r="A123" s="8">
        <v>114</v>
      </c>
      <c r="B123" s="9" t="s">
        <v>126</v>
      </c>
      <c r="C123" s="8" t="s">
        <v>125</v>
      </c>
      <c r="D123" s="1">
        <v>74.94</v>
      </c>
      <c r="E123" s="8" t="s">
        <v>125</v>
      </c>
      <c r="F123" s="1">
        <f t="shared" ref="F123:F127" si="22">D123</f>
        <v>74.94</v>
      </c>
      <c r="G123" s="8" t="s">
        <v>125</v>
      </c>
      <c r="H123" s="1">
        <v>74.94</v>
      </c>
      <c r="I123" s="8" t="s">
        <v>125</v>
      </c>
      <c r="J123" s="14">
        <f t="shared" si="21"/>
        <v>74.94</v>
      </c>
    </row>
    <row r="124" spans="1:10" x14ac:dyDescent="0.35">
      <c r="A124" s="8">
        <v>115</v>
      </c>
      <c r="B124" s="9" t="s">
        <v>127</v>
      </c>
      <c r="C124" s="8" t="s">
        <v>125</v>
      </c>
      <c r="D124" s="1">
        <v>1.03</v>
      </c>
      <c r="E124" s="8" t="s">
        <v>125</v>
      </c>
      <c r="F124" s="1">
        <f t="shared" si="22"/>
        <v>1.03</v>
      </c>
      <c r="G124" s="8" t="s">
        <v>125</v>
      </c>
      <c r="H124" s="1">
        <v>1.03</v>
      </c>
      <c r="I124" s="8" t="s">
        <v>125</v>
      </c>
      <c r="J124" s="14">
        <f t="shared" si="21"/>
        <v>1.03</v>
      </c>
    </row>
    <row r="125" spans="1:10" x14ac:dyDescent="0.35">
      <c r="A125" s="8">
        <v>116</v>
      </c>
      <c r="B125" s="9" t="s">
        <v>128</v>
      </c>
      <c r="C125" s="8" t="s">
        <v>129</v>
      </c>
      <c r="D125" s="1">
        <v>5099.92</v>
      </c>
      <c r="E125" s="8" t="s">
        <v>129</v>
      </c>
      <c r="F125" s="1">
        <f t="shared" si="22"/>
        <v>5099.92</v>
      </c>
      <c r="G125" s="8" t="s">
        <v>129</v>
      </c>
      <c r="H125" s="1">
        <v>5099.92</v>
      </c>
      <c r="I125" s="8" t="s">
        <v>129</v>
      </c>
      <c r="J125" s="14">
        <f t="shared" si="21"/>
        <v>5099.92</v>
      </c>
    </row>
    <row r="126" spans="1:10" x14ac:dyDescent="0.35">
      <c r="A126" s="8">
        <v>117</v>
      </c>
      <c r="B126" s="9" t="s">
        <v>130</v>
      </c>
      <c r="C126" s="8" t="s">
        <v>129</v>
      </c>
      <c r="D126" s="1">
        <v>5442.48</v>
      </c>
      <c r="E126" s="8" t="s">
        <v>129</v>
      </c>
      <c r="F126" s="1">
        <f t="shared" si="22"/>
        <v>5442.48</v>
      </c>
      <c r="G126" s="8" t="s">
        <v>129</v>
      </c>
      <c r="H126" s="1">
        <v>5442.48</v>
      </c>
      <c r="I126" s="8" t="s">
        <v>129</v>
      </c>
      <c r="J126" s="14">
        <f t="shared" si="21"/>
        <v>5442.48</v>
      </c>
    </row>
    <row r="127" spans="1:10" x14ac:dyDescent="0.35">
      <c r="A127" s="8">
        <v>118</v>
      </c>
      <c r="B127" s="9" t="s">
        <v>131</v>
      </c>
      <c r="C127" s="8" t="s">
        <v>129</v>
      </c>
      <c r="D127" s="1">
        <v>1.64</v>
      </c>
      <c r="E127" s="8" t="s">
        <v>129</v>
      </c>
      <c r="F127" s="1">
        <f t="shared" si="22"/>
        <v>1.64</v>
      </c>
      <c r="G127" s="8" t="s">
        <v>129</v>
      </c>
      <c r="H127" s="1">
        <v>1.64</v>
      </c>
      <c r="I127" s="8" t="s">
        <v>129</v>
      </c>
      <c r="J127" s="14">
        <f t="shared" si="21"/>
        <v>1.64</v>
      </c>
    </row>
    <row r="128" spans="1:10" x14ac:dyDescent="0.35">
      <c r="A128" s="8">
        <v>119</v>
      </c>
      <c r="B128" s="9" t="s">
        <v>132</v>
      </c>
      <c r="C128" s="8" t="s">
        <v>197</v>
      </c>
      <c r="D128" s="1">
        <v>19.32</v>
      </c>
      <c r="E128" s="8" t="s">
        <v>193</v>
      </c>
      <c r="F128" s="1" cm="1">
        <f t="array" ref="F128">_xlfn.IFS(C128="MPa (a)", D128*10,C128="MPa (g)",D128*10+$F$3,C128="bar(a)",D128, C128="bar (g)",D128+$F$3)</f>
        <v>193.2</v>
      </c>
      <c r="G128" s="8" t="s">
        <v>198</v>
      </c>
      <c r="H128" s="1">
        <v>19.32</v>
      </c>
      <c r="I128" s="8" t="s">
        <v>193</v>
      </c>
      <c r="J128" s="1" cm="1">
        <f t="array" ref="J128">_xlfn.IFS(G128="MPa (a)", H128*10,G128="MPa (g)",H128*10+$J$3,G128="bar(a)",H128, G128="bar (g)",H128+$J$3)</f>
        <v>194.21299999999999</v>
      </c>
    </row>
    <row r="129" spans="1:10" x14ac:dyDescent="0.35">
      <c r="A129" s="8">
        <v>120</v>
      </c>
      <c r="B129" s="9" t="s">
        <v>133</v>
      </c>
      <c r="C129" s="8" t="s">
        <v>197</v>
      </c>
      <c r="D129" s="1">
        <v>19.329999999999998</v>
      </c>
      <c r="E129" s="8" t="s">
        <v>193</v>
      </c>
      <c r="F129" s="1" cm="1">
        <f t="array" ref="F129">_xlfn.IFS(C129="MPa (a)", D129*10,C129="MPa (g)",D129*10+$F$3,C129="bar(a)",D129, C129="bar (g)",D129+$F$3)</f>
        <v>193.29999999999998</v>
      </c>
      <c r="G129" s="8" t="s">
        <v>198</v>
      </c>
      <c r="H129" s="1">
        <v>19.329999999999998</v>
      </c>
      <c r="I129" s="8" t="s">
        <v>193</v>
      </c>
      <c r="J129" s="1" cm="1">
        <f t="array" ref="J129">_xlfn.IFS(G129="MPa (a)", H129*10,G129="MPa (g)",H129*10+$J$3,G129="bar(a)",H129, G129="bar (g)",H129+$J$3)</f>
        <v>194.31299999999999</v>
      </c>
    </row>
    <row r="130" spans="1:10" x14ac:dyDescent="0.35">
      <c r="A130" s="8">
        <v>121</v>
      </c>
      <c r="B130" s="9" t="s">
        <v>134</v>
      </c>
      <c r="C130" s="8" t="s">
        <v>197</v>
      </c>
      <c r="D130" s="1">
        <v>0.88</v>
      </c>
      <c r="E130" s="8" t="s">
        <v>193</v>
      </c>
      <c r="F130" s="1" cm="1">
        <f t="array" ref="F130">_xlfn.IFS(C130="MPa (a)", D130*10,C130="MPa (g)",D130*10+$F$3,C130="bar(a)",D130, C130="bar (g)",D130+$F$3)</f>
        <v>8.8000000000000007</v>
      </c>
      <c r="G130" s="8" t="s">
        <v>198</v>
      </c>
      <c r="H130" s="1">
        <v>0.88</v>
      </c>
      <c r="I130" s="8" t="s">
        <v>193</v>
      </c>
      <c r="J130" s="1" cm="1">
        <f t="array" ref="J130">_xlfn.IFS(G130="MPa (a)", H130*10,G130="MPa (g)",H130*10+$J$3,G130="bar(a)",H130, G130="bar (g)",H130+$J$3)</f>
        <v>9.8130000000000006</v>
      </c>
    </row>
    <row r="131" spans="1:10" x14ac:dyDescent="0.35">
      <c r="A131" s="8">
        <v>122</v>
      </c>
      <c r="B131" s="9" t="s">
        <v>135</v>
      </c>
      <c r="C131" s="8" t="s">
        <v>54</v>
      </c>
      <c r="D131" s="1">
        <v>175.79</v>
      </c>
      <c r="E131" s="8" t="s">
        <v>54</v>
      </c>
      <c r="F131" s="1">
        <f>D131</f>
        <v>175.79</v>
      </c>
      <c r="G131" s="8" t="s">
        <v>54</v>
      </c>
      <c r="H131" s="1">
        <v>175.79</v>
      </c>
      <c r="I131" s="8" t="s">
        <v>54</v>
      </c>
      <c r="J131" s="14">
        <f>H131</f>
        <v>175.79</v>
      </c>
    </row>
    <row r="132" spans="1:10" x14ac:dyDescent="0.35">
      <c r="A132" s="8">
        <v>123</v>
      </c>
      <c r="B132" s="9" t="s">
        <v>136</v>
      </c>
      <c r="C132" s="8" t="s">
        <v>54</v>
      </c>
      <c r="D132" s="1">
        <v>176.22</v>
      </c>
      <c r="E132" s="8" t="s">
        <v>54</v>
      </c>
      <c r="F132" s="1">
        <f t="shared" ref="F132:F133" si="23">D132</f>
        <v>176.22</v>
      </c>
      <c r="G132" s="8" t="s">
        <v>54</v>
      </c>
      <c r="H132" s="1">
        <v>176.22</v>
      </c>
      <c r="I132" s="8" t="s">
        <v>54</v>
      </c>
      <c r="J132" s="14">
        <f t="shared" ref="J132:J133" si="24">H132</f>
        <v>176.22</v>
      </c>
    </row>
    <row r="133" spans="1:10" x14ac:dyDescent="0.35">
      <c r="A133" s="8">
        <v>124</v>
      </c>
      <c r="B133" s="9" t="s">
        <v>137</v>
      </c>
      <c r="C133" s="8" t="s">
        <v>54</v>
      </c>
      <c r="D133" s="1">
        <v>43.48</v>
      </c>
      <c r="E133" s="8" t="s">
        <v>54</v>
      </c>
      <c r="F133" s="1">
        <f t="shared" si="23"/>
        <v>43.48</v>
      </c>
      <c r="G133" s="8" t="s">
        <v>54</v>
      </c>
      <c r="H133" s="1">
        <v>43.48</v>
      </c>
      <c r="I133" s="8" t="s">
        <v>54</v>
      </c>
      <c r="J133" s="14">
        <f t="shared" si="24"/>
        <v>43.48</v>
      </c>
    </row>
    <row r="134" spans="1:10" x14ac:dyDescent="0.35">
      <c r="A134" s="8">
        <v>125</v>
      </c>
      <c r="B134" s="9" t="s">
        <v>138</v>
      </c>
      <c r="C134" s="8" t="s">
        <v>8</v>
      </c>
      <c r="D134" s="1">
        <v>971.09</v>
      </c>
      <c r="E134" s="8" t="s">
        <v>199</v>
      </c>
      <c r="F134" s="1">
        <f>D134*1000</f>
        <v>971090</v>
      </c>
      <c r="G134" s="8" t="s">
        <v>8</v>
      </c>
      <c r="H134" s="1">
        <v>971.09</v>
      </c>
      <c r="I134" s="8" t="s">
        <v>199</v>
      </c>
      <c r="J134" s="1">
        <f t="shared" ref="J134" si="25">H134*1000</f>
        <v>971090</v>
      </c>
    </row>
    <row r="135" spans="1:10" x14ac:dyDescent="0.35">
      <c r="A135" s="8"/>
      <c r="B135" s="10" t="s">
        <v>139</v>
      </c>
      <c r="C135" s="8"/>
      <c r="D135" s="1"/>
      <c r="E135" s="8"/>
      <c r="F135" s="1"/>
      <c r="G135" s="8"/>
      <c r="H135" s="1"/>
      <c r="I135" s="8"/>
      <c r="J135" s="11"/>
    </row>
    <row r="136" spans="1:10" x14ac:dyDescent="0.35">
      <c r="A136" s="8">
        <v>126</v>
      </c>
      <c r="B136" s="9" t="s">
        <v>140</v>
      </c>
      <c r="C136" s="8" t="s">
        <v>84</v>
      </c>
      <c r="D136" s="1">
        <v>-0.28999999999999998</v>
      </c>
      <c r="E136" s="8" t="s">
        <v>84</v>
      </c>
      <c r="F136" s="1">
        <f>D136</f>
        <v>-0.28999999999999998</v>
      </c>
      <c r="G136" s="8" t="s">
        <v>84</v>
      </c>
      <c r="H136" s="1">
        <v>-0.28999999999999998</v>
      </c>
      <c r="I136" s="8" t="s">
        <v>84</v>
      </c>
      <c r="J136" s="14">
        <f t="shared" ref="J136:J138" si="26">H136</f>
        <v>-0.28999999999999998</v>
      </c>
    </row>
    <row r="137" spans="1:10" x14ac:dyDescent="0.35">
      <c r="A137" s="8">
        <v>127</v>
      </c>
      <c r="B137" s="9" t="s">
        <v>141</v>
      </c>
      <c r="C137" s="8" t="s">
        <v>84</v>
      </c>
      <c r="D137" s="1">
        <v>58.83</v>
      </c>
      <c r="E137" s="8" t="s">
        <v>84</v>
      </c>
      <c r="F137" s="1">
        <f t="shared" ref="F137:F138" si="27">D137</f>
        <v>58.83</v>
      </c>
      <c r="G137" s="8" t="s">
        <v>84</v>
      </c>
      <c r="H137" s="1">
        <v>58.83</v>
      </c>
      <c r="I137" s="8" t="s">
        <v>84</v>
      </c>
      <c r="J137" s="14">
        <f t="shared" si="26"/>
        <v>58.83</v>
      </c>
    </row>
    <row r="138" spans="1:10" x14ac:dyDescent="0.35">
      <c r="A138" s="8">
        <v>128</v>
      </c>
      <c r="B138" s="9" t="s">
        <v>142</v>
      </c>
      <c r="C138" s="8" t="s">
        <v>54</v>
      </c>
      <c r="D138" s="1">
        <v>45.93</v>
      </c>
      <c r="E138" s="8" t="s">
        <v>54</v>
      </c>
      <c r="F138" s="1">
        <f t="shared" si="27"/>
        <v>45.93</v>
      </c>
      <c r="G138" s="8" t="s">
        <v>54</v>
      </c>
      <c r="H138" s="1">
        <v>47.25</v>
      </c>
      <c r="I138" s="8" t="s">
        <v>54</v>
      </c>
      <c r="J138" s="14">
        <f t="shared" si="26"/>
        <v>47.25</v>
      </c>
    </row>
    <row r="139" spans="1:10" x14ac:dyDescent="0.35">
      <c r="A139" s="8">
        <v>129</v>
      </c>
      <c r="B139" s="9" t="s">
        <v>143</v>
      </c>
      <c r="C139" s="8" t="s">
        <v>202</v>
      </c>
      <c r="D139" s="1">
        <v>-7.0000000000000007E-2</v>
      </c>
      <c r="E139" s="8" t="s">
        <v>202</v>
      </c>
      <c r="F139" s="1" cm="1">
        <f t="array" ref="F139">_xlfn.IFS(C139="kPa (a)",D139,C139="kPa (g)",D139+$F$3/100)</f>
        <v>-7.0000000000000007E-2</v>
      </c>
      <c r="G139" s="8" t="s">
        <v>203</v>
      </c>
      <c r="H139" s="1">
        <v>-7.0000000000000007E-2</v>
      </c>
      <c r="I139" s="8" t="s">
        <v>202</v>
      </c>
      <c r="J139" s="1" cm="1">
        <f t="array" ref="J139">_xlfn.IFS(G139="kPa (a)",H139,G139="kPa (g)",H139+$J$3/100)</f>
        <v>-5.9870000000000007E-2</v>
      </c>
    </row>
    <row r="140" spans="1:10" x14ac:dyDescent="0.35">
      <c r="A140" s="8">
        <v>130</v>
      </c>
      <c r="B140" s="9" t="s">
        <v>144</v>
      </c>
      <c r="C140" s="8" t="s">
        <v>197</v>
      </c>
      <c r="D140" s="1">
        <v>-0.02</v>
      </c>
      <c r="E140" s="8" t="s">
        <v>193</v>
      </c>
      <c r="F140" s="1" cm="1">
        <f t="array" ref="F140">_xlfn.IFS(C140="MPa (a)", D140*10,C140="MPa (g)",D140*10+$F$3,C140="bar(a)",D140, C140="bar (g)",D140+$F$3)</f>
        <v>-0.2</v>
      </c>
      <c r="G140" s="8" t="s">
        <v>198</v>
      </c>
      <c r="H140" s="1">
        <v>-0.02</v>
      </c>
      <c r="I140" s="8" t="s">
        <v>193</v>
      </c>
      <c r="J140" s="1" cm="1">
        <f t="array" ref="J140">_xlfn.IFS(G140="MPa (a)", H140*10,G140="MPa (g)",H140*10+$J$3,G140="bar(a)",H140, G140="bar (g)",H140+$J$3)</f>
        <v>0.81299999999999994</v>
      </c>
    </row>
    <row r="141" spans="1:10" x14ac:dyDescent="0.35">
      <c r="A141" s="8">
        <v>131</v>
      </c>
      <c r="B141" s="9" t="s">
        <v>145</v>
      </c>
      <c r="C141" s="8" t="s">
        <v>197</v>
      </c>
      <c r="D141" s="1">
        <v>1.66</v>
      </c>
      <c r="E141" s="8" t="s">
        <v>193</v>
      </c>
      <c r="F141" s="1" cm="1">
        <f t="array" ref="F141">_xlfn.IFS(C141="MPa (a)", D141*10,C141="MPa (g)",D141*10+$F$3,C141="bar(a)",D141, C141="bar (g)",D141+$F$3)</f>
        <v>16.599999999999998</v>
      </c>
      <c r="G141" s="8" t="s">
        <v>198</v>
      </c>
      <c r="H141" s="1">
        <v>1.66</v>
      </c>
      <c r="I141" s="8" t="s">
        <v>193</v>
      </c>
      <c r="J141" s="1" cm="1">
        <f t="array" ref="J141">_xlfn.IFS(G141="MPa (a)", H141*10,G141="MPa (g)",H141*10+$J$3,G141="bar(a)",H141, G141="bar (g)",H141+$J$3)</f>
        <v>17.613</v>
      </c>
    </row>
    <row r="142" spans="1:10" x14ac:dyDescent="0.35">
      <c r="A142" s="8">
        <v>132</v>
      </c>
      <c r="B142" s="9" t="s">
        <v>146</v>
      </c>
      <c r="C142" s="8" t="s">
        <v>54</v>
      </c>
      <c r="D142" s="1">
        <v>45.93</v>
      </c>
      <c r="E142" s="8" t="s">
        <v>54</v>
      </c>
      <c r="F142" s="1">
        <f>D142</f>
        <v>45.93</v>
      </c>
      <c r="G142" s="8" t="s">
        <v>54</v>
      </c>
      <c r="H142" s="1">
        <v>47.96</v>
      </c>
      <c r="I142" s="8" t="s">
        <v>54</v>
      </c>
      <c r="J142" s="1">
        <f t="shared" ref="J142" si="28">H142</f>
        <v>47.96</v>
      </c>
    </row>
    <row r="143" spans="1:10" x14ac:dyDescent="0.35">
      <c r="A143" s="8">
        <v>133</v>
      </c>
      <c r="B143" s="9" t="s">
        <v>147</v>
      </c>
      <c r="C143" s="8" t="s">
        <v>197</v>
      </c>
      <c r="D143" s="1">
        <v>1.64</v>
      </c>
      <c r="E143" s="8" t="s">
        <v>193</v>
      </c>
      <c r="F143" s="1" cm="1">
        <f t="array" ref="F143">_xlfn.IFS(C143="MPa (a)", D143*10,C143="MPa (g)",D143*10+$F$3,C143="bar(a)",D143, C143="bar (g)",D143+$F$3)</f>
        <v>16.399999999999999</v>
      </c>
      <c r="G143" s="8" t="s">
        <v>198</v>
      </c>
      <c r="H143" s="1">
        <v>1.64</v>
      </c>
      <c r="I143" s="8" t="s">
        <v>193</v>
      </c>
      <c r="J143" s="1" cm="1">
        <f t="array" ref="J143">_xlfn.IFS(G143="MPa (a)", H143*10,G143="MPa (g)",H143*10+$J$3,G143="bar(a)",H143, G143="bar (g)",H143+$J$3)</f>
        <v>17.412999999999997</v>
      </c>
    </row>
    <row r="144" spans="1:10" x14ac:dyDescent="0.35">
      <c r="A144" s="8">
        <v>134</v>
      </c>
      <c r="B144" s="9" t="s">
        <v>148</v>
      </c>
      <c r="C144" s="8" t="s">
        <v>8</v>
      </c>
      <c r="D144" s="1">
        <v>738.47</v>
      </c>
      <c r="E144" s="8" t="s">
        <v>199</v>
      </c>
      <c r="F144" s="1">
        <f>D144*1000</f>
        <v>738470</v>
      </c>
      <c r="G144" s="8" t="s">
        <v>8</v>
      </c>
      <c r="H144" s="1">
        <v>738.47</v>
      </c>
      <c r="I144" s="8" t="s">
        <v>199</v>
      </c>
      <c r="J144" s="1">
        <f>H144*1000</f>
        <v>738470</v>
      </c>
    </row>
    <row r="145" spans="1:10" x14ac:dyDescent="0.35">
      <c r="A145" s="8">
        <v>135</v>
      </c>
      <c r="B145" s="9" t="s">
        <v>149</v>
      </c>
      <c r="C145" s="8" t="s">
        <v>8</v>
      </c>
      <c r="D145" s="1">
        <v>6.41</v>
      </c>
      <c r="E145" s="8" t="s">
        <v>199</v>
      </c>
      <c r="F145" s="1">
        <f>D145*1000</f>
        <v>6410</v>
      </c>
      <c r="G145" s="8" t="s">
        <v>8</v>
      </c>
      <c r="H145" s="1">
        <v>6.41</v>
      </c>
      <c r="I145" s="8" t="s">
        <v>199</v>
      </c>
      <c r="J145" s="1">
        <f>H145*1000</f>
        <v>6410</v>
      </c>
    </row>
    <row r="146" spans="1:10" x14ac:dyDescent="0.35">
      <c r="A146" s="8">
        <v>136</v>
      </c>
      <c r="B146" s="9" t="s">
        <v>150</v>
      </c>
      <c r="C146" s="8" t="s">
        <v>84</v>
      </c>
      <c r="D146" s="1">
        <v>21.84</v>
      </c>
      <c r="E146" s="8" t="s">
        <v>84</v>
      </c>
      <c r="F146" s="1">
        <f>D146</f>
        <v>21.84</v>
      </c>
      <c r="G146" s="8" t="s">
        <v>84</v>
      </c>
      <c r="H146" s="1">
        <v>21.84</v>
      </c>
      <c r="I146" s="8" t="s">
        <v>84</v>
      </c>
      <c r="J146" s="1">
        <f t="shared" ref="J146:J150" si="29">H146</f>
        <v>21.84</v>
      </c>
    </row>
    <row r="147" spans="1:10" x14ac:dyDescent="0.35">
      <c r="A147" s="8">
        <v>137</v>
      </c>
      <c r="B147" s="9" t="s">
        <v>151</v>
      </c>
      <c r="C147" s="8" t="s">
        <v>84</v>
      </c>
      <c r="D147" s="1">
        <v>21.81</v>
      </c>
      <c r="E147" s="8" t="s">
        <v>84</v>
      </c>
      <c r="F147" s="1">
        <f t="shared" ref="F147:F150" si="30">D147</f>
        <v>21.81</v>
      </c>
      <c r="G147" s="8" t="s">
        <v>84</v>
      </c>
      <c r="H147" s="1">
        <v>21.81</v>
      </c>
      <c r="I147" s="8" t="s">
        <v>84</v>
      </c>
      <c r="J147" s="1">
        <f t="shared" si="29"/>
        <v>21.81</v>
      </c>
    </row>
    <row r="148" spans="1:10" x14ac:dyDescent="0.35">
      <c r="A148" s="8">
        <v>138</v>
      </c>
      <c r="B148" s="9" t="s">
        <v>152</v>
      </c>
      <c r="C148" s="8" t="s">
        <v>84</v>
      </c>
      <c r="D148" s="1">
        <v>-0.06</v>
      </c>
      <c r="E148" s="8" t="s">
        <v>84</v>
      </c>
      <c r="F148" s="1">
        <f t="shared" si="30"/>
        <v>-0.06</v>
      </c>
      <c r="G148" s="8" t="s">
        <v>84</v>
      </c>
      <c r="H148" s="1">
        <v>-0.06</v>
      </c>
      <c r="I148" s="8" t="s">
        <v>84</v>
      </c>
      <c r="J148" s="1">
        <f t="shared" si="29"/>
        <v>-0.06</v>
      </c>
    </row>
    <row r="149" spans="1:10" x14ac:dyDescent="0.35">
      <c r="A149" s="8">
        <v>139</v>
      </c>
      <c r="B149" s="9" t="s">
        <v>153</v>
      </c>
      <c r="C149" s="8" t="s">
        <v>84</v>
      </c>
      <c r="D149" s="1">
        <v>162.93</v>
      </c>
      <c r="E149" s="8" t="s">
        <v>84</v>
      </c>
      <c r="F149" s="1">
        <f t="shared" si="30"/>
        <v>162.93</v>
      </c>
      <c r="G149" s="8" t="s">
        <v>84</v>
      </c>
      <c r="H149" s="1">
        <v>162.93</v>
      </c>
      <c r="I149" s="8" t="s">
        <v>84</v>
      </c>
      <c r="J149" s="1">
        <f t="shared" si="29"/>
        <v>162.93</v>
      </c>
    </row>
    <row r="150" spans="1:10" x14ac:dyDescent="0.35">
      <c r="A150" s="8">
        <v>140</v>
      </c>
      <c r="B150" s="9" t="s">
        <v>154</v>
      </c>
      <c r="C150" s="8" t="s">
        <v>84</v>
      </c>
      <c r="D150" s="1">
        <v>158.35</v>
      </c>
      <c r="E150" s="8" t="s">
        <v>84</v>
      </c>
      <c r="F150" s="1">
        <f t="shared" si="30"/>
        <v>158.35</v>
      </c>
      <c r="G150" s="8" t="s">
        <v>84</v>
      </c>
      <c r="H150" s="1">
        <v>158.35</v>
      </c>
      <c r="I150" s="8" t="s">
        <v>84</v>
      </c>
      <c r="J150" s="1">
        <f t="shared" si="29"/>
        <v>158.35</v>
      </c>
    </row>
    <row r="151" spans="1:10" x14ac:dyDescent="0.35">
      <c r="A151" s="8">
        <v>141</v>
      </c>
      <c r="B151" s="9" t="s">
        <v>155</v>
      </c>
      <c r="C151" s="8" t="s">
        <v>8</v>
      </c>
      <c r="D151" s="1">
        <v>730.72</v>
      </c>
      <c r="E151" s="8" t="s">
        <v>199</v>
      </c>
      <c r="F151" s="1">
        <f>D151*1000</f>
        <v>730720</v>
      </c>
      <c r="G151" s="8" t="s">
        <v>8</v>
      </c>
      <c r="H151" s="1">
        <v>730.72</v>
      </c>
      <c r="I151" s="8" t="s">
        <v>199</v>
      </c>
      <c r="J151" s="1">
        <f>H151*1000</f>
        <v>730720</v>
      </c>
    </row>
    <row r="152" spans="1:10" x14ac:dyDescent="0.35">
      <c r="A152" s="8">
        <v>142</v>
      </c>
      <c r="B152" s="9" t="s">
        <v>156</v>
      </c>
      <c r="C152" s="8" t="s">
        <v>8</v>
      </c>
      <c r="D152" s="1">
        <v>733.1</v>
      </c>
      <c r="E152" s="8" t="s">
        <v>199</v>
      </c>
      <c r="F152" s="1">
        <f>D152*1000</f>
        <v>733100</v>
      </c>
      <c r="G152" s="8" t="s">
        <v>8</v>
      </c>
      <c r="H152" s="1">
        <v>733.1</v>
      </c>
      <c r="I152" s="8" t="s">
        <v>199</v>
      </c>
      <c r="J152" s="1">
        <f>H152*1000</f>
        <v>733100</v>
      </c>
    </row>
    <row r="153" spans="1:10" x14ac:dyDescent="0.35">
      <c r="A153" s="8">
        <v>143</v>
      </c>
      <c r="B153" s="9" t="s">
        <v>157</v>
      </c>
      <c r="C153" s="8" t="s">
        <v>197</v>
      </c>
      <c r="D153" s="1">
        <v>3.08</v>
      </c>
      <c r="E153" s="8" t="s">
        <v>193</v>
      </c>
      <c r="F153" s="1" cm="1">
        <f t="array" ref="F153">_xlfn.IFS(C153="MPa (a)", D153*10,C153="MPa (g)",D153*10+$F$3,C153="bar(a)",D153, C153="bar (g)",D153+$F$3)</f>
        <v>30.8</v>
      </c>
      <c r="G153" s="8" t="s">
        <v>198</v>
      </c>
      <c r="H153" s="1">
        <v>3.08</v>
      </c>
      <c r="I153" s="8" t="s">
        <v>193</v>
      </c>
      <c r="J153" s="1" cm="1">
        <f t="array" ref="J153">_xlfn.IFS(G153="MPa (a)", H153*10,G153="MPa (g)",H153*10+$J$3,G153="bar(a)",H153, G153="bar (g)",H153+$J$3)</f>
        <v>31.813000000000002</v>
      </c>
    </row>
    <row r="154" spans="1:10" x14ac:dyDescent="0.35">
      <c r="A154" s="8">
        <v>144</v>
      </c>
      <c r="B154" s="9" t="s">
        <v>158</v>
      </c>
      <c r="C154" s="8" t="s">
        <v>54</v>
      </c>
      <c r="D154" s="1">
        <v>480.14</v>
      </c>
      <c r="E154" s="8" t="s">
        <v>54</v>
      </c>
      <c r="F154" s="1">
        <f>D154</f>
        <v>480.14</v>
      </c>
      <c r="G154" s="8" t="s">
        <v>54</v>
      </c>
      <c r="H154" s="1">
        <v>480.14</v>
      </c>
      <c r="I154" s="8" t="s">
        <v>54</v>
      </c>
      <c r="J154" s="1">
        <f>H154</f>
        <v>480.14</v>
      </c>
    </row>
    <row r="155" spans="1:10" x14ac:dyDescent="0.35">
      <c r="A155" s="8">
        <v>145</v>
      </c>
      <c r="B155" s="9" t="s">
        <v>159</v>
      </c>
      <c r="C155" s="8" t="s">
        <v>54</v>
      </c>
      <c r="D155" s="1">
        <v>469.75</v>
      </c>
      <c r="E155" s="8" t="s">
        <v>54</v>
      </c>
      <c r="F155" s="1">
        <f t="shared" ref="F155:F163" si="31">D155</f>
        <v>469.75</v>
      </c>
      <c r="G155" s="8" t="s">
        <v>54</v>
      </c>
      <c r="H155" s="1">
        <v>469.75</v>
      </c>
      <c r="I155" s="8" t="s">
        <v>54</v>
      </c>
      <c r="J155" s="1">
        <f t="shared" ref="J155:J163" si="32">H155</f>
        <v>469.75</v>
      </c>
    </row>
    <row r="156" spans="1:10" x14ac:dyDescent="0.35">
      <c r="A156" s="8">
        <v>146</v>
      </c>
      <c r="B156" s="9" t="s">
        <v>160</v>
      </c>
      <c r="C156" s="8" t="s">
        <v>125</v>
      </c>
      <c r="D156" s="1">
        <v>24.74</v>
      </c>
      <c r="E156" s="8" t="s">
        <v>125</v>
      </c>
      <c r="F156" s="1">
        <f t="shared" si="31"/>
        <v>24.74</v>
      </c>
      <c r="G156" s="8" t="s">
        <v>125</v>
      </c>
      <c r="H156" s="1">
        <v>24.74</v>
      </c>
      <c r="I156" s="8" t="s">
        <v>125</v>
      </c>
      <c r="J156" s="1">
        <f t="shared" si="32"/>
        <v>24.74</v>
      </c>
    </row>
    <row r="157" spans="1:10" x14ac:dyDescent="0.35">
      <c r="A157" s="8">
        <v>147</v>
      </c>
      <c r="B157" s="9" t="s">
        <v>161</v>
      </c>
      <c r="C157" s="8" t="s">
        <v>125</v>
      </c>
      <c r="D157" s="1">
        <v>-0.76</v>
      </c>
      <c r="E157" s="8" t="s">
        <v>125</v>
      </c>
      <c r="F157" s="1">
        <f t="shared" si="31"/>
        <v>-0.76</v>
      </c>
      <c r="G157" s="8" t="s">
        <v>125</v>
      </c>
      <c r="H157" s="1">
        <v>-0.76</v>
      </c>
      <c r="I157" s="8" t="s">
        <v>125</v>
      </c>
      <c r="J157" s="1">
        <f t="shared" si="32"/>
        <v>-0.76</v>
      </c>
    </row>
    <row r="158" spans="1:10" x14ac:dyDescent="0.35">
      <c r="A158" s="8">
        <v>148</v>
      </c>
      <c r="B158" s="9" t="s">
        <v>162</v>
      </c>
      <c r="C158" s="8" t="s">
        <v>125</v>
      </c>
      <c r="D158" s="1">
        <v>100.92</v>
      </c>
      <c r="E158" s="8" t="s">
        <v>125</v>
      </c>
      <c r="F158" s="1">
        <f t="shared" si="31"/>
        <v>100.92</v>
      </c>
      <c r="G158" s="8" t="s">
        <v>125</v>
      </c>
      <c r="H158" s="1">
        <v>100.92</v>
      </c>
      <c r="I158" s="8" t="s">
        <v>125</v>
      </c>
      <c r="J158" s="1">
        <f t="shared" si="32"/>
        <v>100.92</v>
      </c>
    </row>
    <row r="159" spans="1:10" x14ac:dyDescent="0.35">
      <c r="A159" s="8">
        <v>149</v>
      </c>
      <c r="B159" s="9" t="s">
        <v>163</v>
      </c>
      <c r="C159" s="8" t="s">
        <v>125</v>
      </c>
      <c r="D159" s="1">
        <v>100.96</v>
      </c>
      <c r="E159" s="8" t="s">
        <v>125</v>
      </c>
      <c r="F159" s="1">
        <f t="shared" si="31"/>
        <v>100.96</v>
      </c>
      <c r="G159" s="8" t="s">
        <v>125</v>
      </c>
      <c r="H159" s="1">
        <v>100.96</v>
      </c>
      <c r="I159" s="8" t="s">
        <v>125</v>
      </c>
      <c r="J159" s="1">
        <f t="shared" si="32"/>
        <v>100.96</v>
      </c>
    </row>
    <row r="160" spans="1:10" x14ac:dyDescent="0.35">
      <c r="A160" s="8">
        <v>150</v>
      </c>
      <c r="B160" s="9" t="s">
        <v>164</v>
      </c>
      <c r="C160" s="8" t="s">
        <v>125</v>
      </c>
      <c r="D160" s="1">
        <v>-0.26</v>
      </c>
      <c r="E160" s="8" t="s">
        <v>125</v>
      </c>
      <c r="F160" s="1">
        <f t="shared" si="31"/>
        <v>-0.26</v>
      </c>
      <c r="G160" s="8" t="s">
        <v>125</v>
      </c>
      <c r="H160" s="1">
        <v>-0.26</v>
      </c>
      <c r="I160" s="8" t="s">
        <v>125</v>
      </c>
      <c r="J160" s="1">
        <f t="shared" si="32"/>
        <v>-0.26</v>
      </c>
    </row>
    <row r="161" spans="1:10" x14ac:dyDescent="0.35">
      <c r="A161" s="8">
        <v>151</v>
      </c>
      <c r="B161" s="9" t="s">
        <v>165</v>
      </c>
      <c r="C161" s="8" t="s">
        <v>125</v>
      </c>
      <c r="D161" s="1">
        <v>87.75</v>
      </c>
      <c r="E161" s="8" t="s">
        <v>125</v>
      </c>
      <c r="F161" s="1">
        <f t="shared" si="31"/>
        <v>87.75</v>
      </c>
      <c r="G161" s="8" t="s">
        <v>125</v>
      </c>
      <c r="H161" s="1">
        <v>87.75</v>
      </c>
      <c r="I161" s="8" t="s">
        <v>125</v>
      </c>
      <c r="J161" s="1">
        <f t="shared" si="32"/>
        <v>87.75</v>
      </c>
    </row>
    <row r="162" spans="1:10" x14ac:dyDescent="0.35">
      <c r="A162" s="8">
        <v>152</v>
      </c>
      <c r="B162" s="9" t="s">
        <v>166</v>
      </c>
      <c r="C162" s="8" t="s">
        <v>125</v>
      </c>
      <c r="D162" s="1">
        <v>32.53</v>
      </c>
      <c r="E162" s="8" t="s">
        <v>125</v>
      </c>
      <c r="F162" s="1">
        <f t="shared" si="31"/>
        <v>32.53</v>
      </c>
      <c r="G162" s="8" t="s">
        <v>125</v>
      </c>
      <c r="H162" s="1">
        <v>32.53</v>
      </c>
      <c r="I162" s="8" t="s">
        <v>125</v>
      </c>
      <c r="J162" s="1">
        <f t="shared" si="32"/>
        <v>32.53</v>
      </c>
    </row>
    <row r="163" spans="1:10" x14ac:dyDescent="0.35">
      <c r="A163" s="8">
        <v>153</v>
      </c>
      <c r="B163" s="9" t="s">
        <v>167</v>
      </c>
      <c r="C163" s="8" t="s">
        <v>125</v>
      </c>
      <c r="D163" s="1">
        <v>100.17</v>
      </c>
      <c r="E163" s="8" t="s">
        <v>125</v>
      </c>
      <c r="F163" s="1">
        <f t="shared" si="31"/>
        <v>100.17</v>
      </c>
      <c r="G163" s="8" t="s">
        <v>125</v>
      </c>
      <c r="H163" s="1">
        <v>100.17</v>
      </c>
      <c r="I163" s="8" t="s">
        <v>125</v>
      </c>
      <c r="J163" s="1">
        <f t="shared" si="32"/>
        <v>100.17</v>
      </c>
    </row>
    <row r="164" spans="1:10" x14ac:dyDescent="0.35">
      <c r="A164" s="8"/>
      <c r="B164" s="10" t="s">
        <v>168</v>
      </c>
      <c r="C164" s="8"/>
      <c r="D164" s="1"/>
      <c r="E164" s="8"/>
      <c r="F164" s="1"/>
      <c r="G164" s="8"/>
      <c r="H164" s="1"/>
      <c r="I164" s="8"/>
      <c r="J164" s="11"/>
    </row>
    <row r="165" spans="1:10" x14ac:dyDescent="0.35">
      <c r="A165" s="8">
        <v>154</v>
      </c>
      <c r="B165" s="9" t="s">
        <v>169</v>
      </c>
      <c r="C165" s="8" t="s">
        <v>170</v>
      </c>
      <c r="D165" s="1">
        <v>4</v>
      </c>
      <c r="E165" s="8" t="s">
        <v>170</v>
      </c>
      <c r="F165" s="1">
        <v>4</v>
      </c>
      <c r="G165" s="1" t="s">
        <v>170</v>
      </c>
      <c r="H165" s="1">
        <v>4</v>
      </c>
      <c r="I165" s="8" t="s">
        <v>170</v>
      </c>
      <c r="J165" s="1">
        <v>4</v>
      </c>
    </row>
    <row r="166" spans="1:10" x14ac:dyDescent="0.35">
      <c r="A166" s="8">
        <v>155</v>
      </c>
      <c r="B166" s="9" t="s">
        <v>171</v>
      </c>
      <c r="C166" s="8" t="s">
        <v>8</v>
      </c>
      <c r="D166" s="1">
        <v>0</v>
      </c>
      <c r="E166" s="8" t="s">
        <v>199</v>
      </c>
      <c r="F166" s="1">
        <f>D166*1000</f>
        <v>0</v>
      </c>
      <c r="G166" s="1" t="s">
        <v>8</v>
      </c>
      <c r="H166" s="1">
        <v>-1.66358205</v>
      </c>
      <c r="I166" s="8" t="s">
        <v>199</v>
      </c>
      <c r="J166" s="1">
        <f>H166*1000</f>
        <v>-1663.58205</v>
      </c>
    </row>
    <row r="167" spans="1:10" x14ac:dyDescent="0.35">
      <c r="A167" s="8">
        <v>156</v>
      </c>
      <c r="B167" s="9" t="s">
        <v>172</v>
      </c>
      <c r="C167" s="8" t="s">
        <v>8</v>
      </c>
      <c r="D167" s="1">
        <v>0</v>
      </c>
      <c r="E167" s="8" t="s">
        <v>199</v>
      </c>
      <c r="F167" s="1">
        <f t="shared" ref="F167:F170" si="33">D167*1000</f>
        <v>0</v>
      </c>
      <c r="G167" s="1" t="s">
        <v>8</v>
      </c>
      <c r="H167" s="1">
        <v>0</v>
      </c>
      <c r="I167" s="8" t="s">
        <v>199</v>
      </c>
      <c r="J167" s="1">
        <f t="shared" ref="J167:J170" si="34">H167*1000</f>
        <v>0</v>
      </c>
    </row>
    <row r="168" spans="1:10" x14ac:dyDescent="0.35">
      <c r="A168" s="8">
        <v>157</v>
      </c>
      <c r="B168" s="9" t="s">
        <v>173</v>
      </c>
      <c r="C168" s="8" t="s">
        <v>8</v>
      </c>
      <c r="D168" s="1">
        <v>0</v>
      </c>
      <c r="E168" s="8" t="s">
        <v>199</v>
      </c>
      <c r="F168" s="1">
        <f t="shared" si="33"/>
        <v>0</v>
      </c>
      <c r="G168" s="1" t="s">
        <v>8</v>
      </c>
      <c r="H168" s="1">
        <v>0</v>
      </c>
      <c r="I168" s="8" t="s">
        <v>199</v>
      </c>
      <c r="J168" s="1">
        <f t="shared" si="34"/>
        <v>0</v>
      </c>
    </row>
    <row r="169" spans="1:10" x14ac:dyDescent="0.35">
      <c r="A169" s="8">
        <v>158</v>
      </c>
      <c r="B169" s="9" t="s">
        <v>204</v>
      </c>
      <c r="C169" s="8" t="s">
        <v>8</v>
      </c>
      <c r="D169" s="1">
        <v>0</v>
      </c>
      <c r="E169" s="8" t="s">
        <v>199</v>
      </c>
      <c r="F169" s="1">
        <f t="shared" si="33"/>
        <v>0</v>
      </c>
      <c r="G169" s="1" t="s">
        <v>8</v>
      </c>
      <c r="H169" s="1">
        <v>0</v>
      </c>
      <c r="I169" s="8" t="s">
        <v>199</v>
      </c>
      <c r="J169" s="1">
        <f t="shared" si="34"/>
        <v>0</v>
      </c>
    </row>
    <row r="170" spans="1:10" x14ac:dyDescent="0.35">
      <c r="A170" s="8">
        <v>159</v>
      </c>
      <c r="B170" s="9" t="s">
        <v>205</v>
      </c>
      <c r="C170" s="8" t="s">
        <v>8</v>
      </c>
      <c r="D170" s="1">
        <v>0</v>
      </c>
      <c r="E170" s="8" t="s">
        <v>199</v>
      </c>
      <c r="F170" s="1">
        <f t="shared" si="33"/>
        <v>0</v>
      </c>
      <c r="G170" s="1" t="s">
        <v>8</v>
      </c>
      <c r="H170" s="1">
        <v>0</v>
      </c>
      <c r="I170" s="8" t="s">
        <v>199</v>
      </c>
      <c r="J170" s="1">
        <f t="shared" si="34"/>
        <v>0</v>
      </c>
    </row>
    <row r="171" spans="1:10" x14ac:dyDescent="0.35">
      <c r="A171" s="8"/>
      <c r="B171" s="10" t="s">
        <v>174</v>
      </c>
      <c r="C171" s="8"/>
      <c r="D171" s="1"/>
      <c r="E171" s="8"/>
      <c r="F171" s="1"/>
      <c r="G171" s="8"/>
      <c r="H171" s="1"/>
      <c r="I171" s="8"/>
      <c r="J171" s="11"/>
    </row>
    <row r="172" spans="1:10" x14ac:dyDescent="0.35">
      <c r="A172" s="8">
        <v>160</v>
      </c>
      <c r="B172" s="9" t="s">
        <v>175</v>
      </c>
      <c r="C172" s="8" t="s">
        <v>84</v>
      </c>
      <c r="D172" s="1">
        <v>126.63</v>
      </c>
      <c r="E172" s="8" t="s">
        <v>84</v>
      </c>
      <c r="F172" s="14">
        <f>D172</f>
        <v>126.63</v>
      </c>
      <c r="G172" s="8" t="s">
        <v>84</v>
      </c>
      <c r="H172" s="1">
        <v>126.63</v>
      </c>
      <c r="I172" s="8" t="s">
        <v>84</v>
      </c>
      <c r="J172" s="14">
        <f>H172</f>
        <v>126.63</v>
      </c>
    </row>
    <row r="173" spans="1:10" x14ac:dyDescent="0.35">
      <c r="A173" s="8">
        <v>161</v>
      </c>
      <c r="B173" s="9" t="s">
        <v>176</v>
      </c>
      <c r="C173" s="8" t="s">
        <v>84</v>
      </c>
      <c r="D173" s="1">
        <v>130.33000000000001</v>
      </c>
      <c r="E173" s="8" t="s">
        <v>84</v>
      </c>
      <c r="F173" s="14">
        <f t="shared" ref="F173:F183" si="35">D173</f>
        <v>130.33000000000001</v>
      </c>
      <c r="G173" s="8" t="s">
        <v>84</v>
      </c>
      <c r="H173" s="1">
        <v>130.33000000000001</v>
      </c>
      <c r="I173" s="8" t="s">
        <v>84</v>
      </c>
      <c r="J173" s="14">
        <f t="shared" ref="J173:J183" si="36">H173</f>
        <v>130.33000000000001</v>
      </c>
    </row>
    <row r="174" spans="1:10" x14ac:dyDescent="0.35">
      <c r="A174" s="8">
        <v>162</v>
      </c>
      <c r="B174" s="9" t="s">
        <v>177</v>
      </c>
      <c r="C174" s="8" t="s">
        <v>84</v>
      </c>
      <c r="D174" s="1">
        <v>114.36</v>
      </c>
      <c r="E174" s="8" t="s">
        <v>84</v>
      </c>
      <c r="F174" s="14">
        <f t="shared" si="35"/>
        <v>114.36</v>
      </c>
      <c r="G174" s="8" t="s">
        <v>84</v>
      </c>
      <c r="H174" s="1">
        <v>114.36</v>
      </c>
      <c r="I174" s="8" t="s">
        <v>84</v>
      </c>
      <c r="J174" s="14">
        <f t="shared" si="36"/>
        <v>114.36</v>
      </c>
    </row>
    <row r="175" spans="1:10" x14ac:dyDescent="0.35">
      <c r="A175" s="8">
        <v>163</v>
      </c>
      <c r="B175" s="9" t="s">
        <v>178</v>
      </c>
      <c r="C175" s="8" t="s">
        <v>84</v>
      </c>
      <c r="D175" s="1">
        <v>113.12</v>
      </c>
      <c r="E175" s="8" t="s">
        <v>84</v>
      </c>
      <c r="F175" s="14">
        <f t="shared" si="35"/>
        <v>113.12</v>
      </c>
      <c r="G175" s="8" t="s">
        <v>84</v>
      </c>
      <c r="H175" s="1">
        <v>113.12</v>
      </c>
      <c r="I175" s="8" t="s">
        <v>84</v>
      </c>
      <c r="J175" s="14">
        <f t="shared" si="36"/>
        <v>113.12</v>
      </c>
    </row>
    <row r="176" spans="1:10" x14ac:dyDescent="0.35">
      <c r="A176" s="8">
        <v>164</v>
      </c>
      <c r="B176" s="9" t="s">
        <v>179</v>
      </c>
      <c r="C176" s="8" t="s">
        <v>84</v>
      </c>
      <c r="D176" s="1">
        <v>112.72</v>
      </c>
      <c r="E176" s="8" t="s">
        <v>84</v>
      </c>
      <c r="F176" s="14">
        <f t="shared" si="35"/>
        <v>112.72</v>
      </c>
      <c r="G176" s="8" t="s">
        <v>84</v>
      </c>
      <c r="H176" s="1">
        <v>112.72</v>
      </c>
      <c r="I176" s="8" t="s">
        <v>84</v>
      </c>
      <c r="J176" s="14">
        <f t="shared" si="36"/>
        <v>112.72</v>
      </c>
    </row>
    <row r="177" spans="1:10" x14ac:dyDescent="0.35">
      <c r="A177" s="8">
        <v>165</v>
      </c>
      <c r="B177" s="9" t="s">
        <v>180</v>
      </c>
      <c r="C177" s="8" t="s">
        <v>84</v>
      </c>
      <c r="D177" s="1">
        <v>122.27</v>
      </c>
      <c r="E177" s="8" t="s">
        <v>84</v>
      </c>
      <c r="F177" s="14">
        <f t="shared" si="35"/>
        <v>122.27</v>
      </c>
      <c r="G177" s="8" t="s">
        <v>84</v>
      </c>
      <c r="H177" s="1">
        <v>122.27</v>
      </c>
      <c r="I177" s="8" t="s">
        <v>84</v>
      </c>
      <c r="J177" s="14">
        <f t="shared" si="36"/>
        <v>122.27</v>
      </c>
    </row>
    <row r="178" spans="1:10" x14ac:dyDescent="0.35">
      <c r="A178" s="8">
        <v>166</v>
      </c>
      <c r="B178" s="9" t="s">
        <v>181</v>
      </c>
      <c r="C178" s="8" t="s">
        <v>84</v>
      </c>
      <c r="D178" s="1">
        <v>124.17</v>
      </c>
      <c r="E178" s="8" t="s">
        <v>84</v>
      </c>
      <c r="F178" s="14">
        <f t="shared" si="35"/>
        <v>124.17</v>
      </c>
      <c r="G178" s="8" t="s">
        <v>84</v>
      </c>
      <c r="H178" s="1">
        <v>124.17</v>
      </c>
      <c r="I178" s="8" t="s">
        <v>84</v>
      </c>
      <c r="J178" s="14">
        <f t="shared" si="36"/>
        <v>124.17</v>
      </c>
    </row>
    <row r="179" spans="1:10" x14ac:dyDescent="0.35">
      <c r="A179" s="8">
        <v>167</v>
      </c>
      <c r="B179" s="9" t="s">
        <v>182</v>
      </c>
      <c r="C179" s="8" t="s">
        <v>84</v>
      </c>
      <c r="D179" s="1">
        <v>120.66</v>
      </c>
      <c r="E179" s="8" t="s">
        <v>84</v>
      </c>
      <c r="F179" s="14">
        <f t="shared" si="35"/>
        <v>120.66</v>
      </c>
      <c r="G179" s="8" t="s">
        <v>84</v>
      </c>
      <c r="H179" s="1">
        <v>120.66</v>
      </c>
      <c r="I179" s="8" t="s">
        <v>84</v>
      </c>
      <c r="J179" s="14">
        <f t="shared" si="36"/>
        <v>120.66</v>
      </c>
    </row>
    <row r="180" spans="1:10" x14ac:dyDescent="0.35">
      <c r="A180" s="8">
        <v>168</v>
      </c>
      <c r="B180" s="9" t="s">
        <v>183</v>
      </c>
      <c r="C180" s="8" t="s">
        <v>84</v>
      </c>
      <c r="D180" s="1">
        <v>119.13</v>
      </c>
      <c r="E180" s="8" t="s">
        <v>84</v>
      </c>
      <c r="F180" s="14">
        <f t="shared" si="35"/>
        <v>119.13</v>
      </c>
      <c r="G180" s="8" t="s">
        <v>84</v>
      </c>
      <c r="H180" s="1">
        <v>119.13</v>
      </c>
      <c r="I180" s="8" t="s">
        <v>84</v>
      </c>
      <c r="J180" s="14">
        <f t="shared" si="36"/>
        <v>119.13</v>
      </c>
    </row>
    <row r="181" spans="1:10" x14ac:dyDescent="0.35">
      <c r="A181" s="8">
        <v>169</v>
      </c>
      <c r="B181" s="9" t="s">
        <v>184</v>
      </c>
      <c r="C181" s="8" t="s">
        <v>84</v>
      </c>
      <c r="D181" s="1">
        <v>143.81</v>
      </c>
      <c r="E181" s="8" t="s">
        <v>84</v>
      </c>
      <c r="F181" s="14">
        <f t="shared" si="35"/>
        <v>143.81</v>
      </c>
      <c r="G181" s="8" t="s">
        <v>84</v>
      </c>
      <c r="H181" s="1">
        <v>143.81</v>
      </c>
      <c r="I181" s="8" t="s">
        <v>84</v>
      </c>
      <c r="J181" s="14">
        <f t="shared" si="36"/>
        <v>143.81</v>
      </c>
    </row>
    <row r="182" spans="1:10" x14ac:dyDescent="0.35">
      <c r="A182" s="8">
        <v>170</v>
      </c>
      <c r="B182" s="9" t="s">
        <v>185</v>
      </c>
      <c r="C182" s="8" t="s">
        <v>84</v>
      </c>
      <c r="D182" s="1">
        <v>118</v>
      </c>
      <c r="E182" s="8" t="s">
        <v>84</v>
      </c>
      <c r="F182" s="14">
        <f t="shared" si="35"/>
        <v>118</v>
      </c>
      <c r="G182" s="8" t="s">
        <v>84</v>
      </c>
      <c r="H182" s="1">
        <v>118</v>
      </c>
      <c r="I182" s="8" t="s">
        <v>84</v>
      </c>
      <c r="J182" s="14">
        <f t="shared" si="36"/>
        <v>118</v>
      </c>
    </row>
    <row r="183" spans="1:10" x14ac:dyDescent="0.35">
      <c r="A183" s="8">
        <v>171</v>
      </c>
      <c r="B183" s="9" t="s">
        <v>186</v>
      </c>
      <c r="C183" s="8" t="s">
        <v>84</v>
      </c>
      <c r="D183" s="1">
        <v>81.8</v>
      </c>
      <c r="E183" s="8" t="s">
        <v>84</v>
      </c>
      <c r="F183" s="14">
        <f t="shared" si="35"/>
        <v>81.8</v>
      </c>
      <c r="G183" s="8" t="s">
        <v>84</v>
      </c>
      <c r="H183" s="1">
        <v>81.8</v>
      </c>
      <c r="I183" s="8" t="s">
        <v>84</v>
      </c>
      <c r="J183" s="14">
        <f t="shared" si="36"/>
        <v>81.8</v>
      </c>
    </row>
    <row r="184" spans="1:10" x14ac:dyDescent="0.35">
      <c r="A184" s="8">
        <v>172</v>
      </c>
      <c r="B184" s="9" t="s">
        <v>206</v>
      </c>
      <c r="C184" s="8" t="s">
        <v>125</v>
      </c>
      <c r="D184" s="15">
        <f>0.93517117863266*100</f>
        <v>93.517117863265995</v>
      </c>
      <c r="E184" s="8" t="s">
        <v>125</v>
      </c>
      <c r="F184" s="13">
        <f>0.93517117863266*100</f>
        <v>93.517117863265995</v>
      </c>
      <c r="G184" s="8" t="s">
        <v>125</v>
      </c>
      <c r="H184" s="13">
        <f>0.93517117863266*100</f>
        <v>93.517117863265995</v>
      </c>
      <c r="I184" s="8" t="s">
        <v>125</v>
      </c>
      <c r="J184" s="15">
        <f>0.93517117863266*100</f>
        <v>93.517117863265995</v>
      </c>
    </row>
    <row r="185" spans="1:10" x14ac:dyDescent="0.35">
      <c r="A185" s="8">
        <v>173</v>
      </c>
      <c r="B185" s="9" t="s">
        <v>207</v>
      </c>
      <c r="C185" s="8" t="s">
        <v>208</v>
      </c>
      <c r="D185" s="13" t="s">
        <v>209</v>
      </c>
      <c r="E185" s="8" t="s">
        <v>208</v>
      </c>
      <c r="F185" s="13" t="s">
        <v>209</v>
      </c>
      <c r="G185" s="8" t="s">
        <v>208</v>
      </c>
      <c r="H185" s="8">
        <v>9</v>
      </c>
      <c r="I185" s="8" t="s">
        <v>208</v>
      </c>
      <c r="J185" s="8">
        <v>9</v>
      </c>
    </row>
    <row r="186" spans="1:10" x14ac:dyDescent="0.35">
      <c r="A186" s="8">
        <v>174</v>
      </c>
      <c r="B186" s="9" t="s">
        <v>210</v>
      </c>
      <c r="C186" s="8" t="s">
        <v>125</v>
      </c>
      <c r="D186" s="13" t="s">
        <v>209</v>
      </c>
      <c r="E186" s="8" t="s">
        <v>125</v>
      </c>
      <c r="F186" s="13" t="s">
        <v>209</v>
      </c>
      <c r="G186" s="8" t="s">
        <v>125</v>
      </c>
      <c r="H186" s="8">
        <v>0.82</v>
      </c>
      <c r="I186" s="8" t="s">
        <v>125</v>
      </c>
      <c r="J186" s="8">
        <v>0.82</v>
      </c>
    </row>
    <row r="187" spans="1:10" x14ac:dyDescent="0.35">
      <c r="A187" s="8">
        <v>175</v>
      </c>
      <c r="B187" s="9" t="s">
        <v>211</v>
      </c>
      <c r="C187" s="8" t="s">
        <v>125</v>
      </c>
      <c r="D187" s="16">
        <v>10</v>
      </c>
      <c r="E187" s="8" t="s">
        <v>125</v>
      </c>
      <c r="F187" s="16">
        <v>10</v>
      </c>
      <c r="G187" s="8"/>
      <c r="H187" s="8"/>
      <c r="I187" s="8"/>
      <c r="J187" s="8"/>
    </row>
    <row r="188" spans="1:10" x14ac:dyDescent="0.35">
      <c r="A188" s="8"/>
      <c r="B188" s="9" t="s">
        <v>212</v>
      </c>
      <c r="C188" s="8" t="s">
        <v>8</v>
      </c>
      <c r="D188" s="17">
        <v>0</v>
      </c>
      <c r="E188" s="8" t="s">
        <v>8</v>
      </c>
      <c r="F188" s="1">
        <v>0</v>
      </c>
      <c r="G188" s="17">
        <v>0</v>
      </c>
      <c r="H188" s="8" t="s">
        <v>8</v>
      </c>
      <c r="I188" s="17">
        <v>0</v>
      </c>
      <c r="J188" s="8" t="s">
        <v>8</v>
      </c>
    </row>
    <row r="189" spans="1:10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</row>
  </sheetData>
  <dataValidations count="2">
    <dataValidation type="list" allowBlank="1" showInputMessage="1" showErrorMessage="1" sqref="C109:C134 C136:C163 C172:C183 C88:C107 G88:G107 G37:G62 C65:C67 C28:C35 C26 G166:G170 C7:C12 C20:C24 C14:C18 C69:C86 G136:G163 G172:G183 G69:G86 C37:C62 G28:G35 G65:G67 G20:G24 G26 C166:C170 G7:G12 G14:G18 G109:G134" xr:uid="{D3108875-17E1-4079-B740-72F2038FE60D}">
      <formula1>$R$1:$R$15</formula1>
    </dataValidation>
    <dataValidation type="list" allowBlank="1" showInputMessage="1" showErrorMessage="1" sqref="G1 I1 C1" xr:uid="{F7889242-9437-435E-BF68-2EF07225B5E6}">
      <formula1>$P$3:$P$15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Bobbili Bharadwaj</dc:creator>
  <cp:lastModifiedBy>Bobbili Bharadwaj</cp:lastModifiedBy>
  <dcterms:created xsi:type="dcterms:W3CDTF">2025-06-02T04:15:32Z</dcterms:created>
  <dcterms:modified xsi:type="dcterms:W3CDTF">2025-07-16T12:36:10Z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51ac48-f2ec-47d6-b214-43b916e392ff_Enabled">
    <vt:lpwstr>true</vt:lpwstr>
  </property>
  <property fmtid="{D5CDD505-2E9C-101B-9397-08002B2CF9AE}" pid="3" name="MSIP_Label_3351ac48-f2ec-47d6-b214-43b916e392ff_SetDate">
    <vt:lpwstr>2025-06-02T04:15:40Z</vt:lpwstr>
  </property>
  <property fmtid="{D5CDD505-2E9C-101B-9397-08002B2CF9AE}" pid="4" name="MSIP_Label_3351ac48-f2ec-47d6-b214-43b916e392ff_Method">
    <vt:lpwstr>Standard</vt:lpwstr>
  </property>
  <property fmtid="{D5CDD505-2E9C-101B-9397-08002B2CF9AE}" pid="5" name="MSIP_Label_3351ac48-f2ec-47d6-b214-43b916e392ff_Name">
    <vt:lpwstr>3351ac48-f2ec-47d6-b214-43b916e392ff</vt:lpwstr>
  </property>
  <property fmtid="{D5CDD505-2E9C-101B-9397-08002B2CF9AE}" pid="6" name="MSIP_Label_3351ac48-f2ec-47d6-b214-43b916e392ff_SiteId">
    <vt:lpwstr>5af76741-f886-4d20-ad04-775dee0ce762</vt:lpwstr>
  </property>
  <property fmtid="{D5CDD505-2E9C-101B-9397-08002B2CF9AE}" pid="7" name="MSIP_Label_3351ac48-f2ec-47d6-b214-43b916e392ff_ActionId">
    <vt:lpwstr>ce6f9f38-00b8-4f24-b72c-fa10db4db618</vt:lpwstr>
  </property>
  <property fmtid="{D5CDD505-2E9C-101B-9397-08002B2CF9AE}" pid="8" name="MSIP_Label_3351ac48-f2ec-47d6-b214-43b916e392ff_ContentBits">
    <vt:lpwstr>0</vt:lpwstr>
  </property>
</Properties>
</file>