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8391\Downloads\"/>
    </mc:Choice>
  </mc:AlternateContent>
  <xr:revisionPtr revIDLastSave="0" documentId="8_{29EC95E5-C90E-4F82-A0A1-956DABFC54CF}" xr6:coauthVersionLast="47" xr6:coauthVersionMax="47" xr10:uidLastSave="{00000000-0000-0000-0000-000000000000}"/>
  <bookViews>
    <workbookView xWindow="-110" yWindow="-110" windowWidth="19420" windowHeight="10300" xr2:uid="{3EAFA099-2B1D-4FA8-B963-A09D96B82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4" i="1" l="1"/>
  <c r="F134" i="1"/>
  <c r="J133" i="1"/>
  <c r="F133" i="1"/>
  <c r="J132" i="1"/>
  <c r="F132" i="1"/>
  <c r="J131" i="1"/>
  <c r="F131" i="1"/>
  <c r="J130" i="1"/>
  <c r="F130" i="1"/>
  <c r="J128" i="1"/>
  <c r="F128" i="1"/>
  <c r="J127" i="1"/>
  <c r="F127" i="1"/>
  <c r="J126" i="1" a="1"/>
  <c r="J126" i="1" s="1"/>
  <c r="J125" i="1" a="1"/>
  <c r="J125" i="1" s="1"/>
  <c r="J124" i="1"/>
  <c r="F124" i="1"/>
  <c r="J123" i="1"/>
  <c r="F123" i="1"/>
  <c r="J122" i="1"/>
  <c r="F122" i="1"/>
  <c r="J121" i="1"/>
  <c r="F121" i="1"/>
  <c r="J120" i="1"/>
  <c r="F120" i="1"/>
  <c r="J119" i="1"/>
  <c r="F119" i="1"/>
  <c r="J118" i="1" a="1"/>
  <c r="J118" i="1" s="1"/>
  <c r="F118" i="1" a="1"/>
  <c r="F118" i="1" s="1"/>
  <c r="J116" i="1"/>
  <c r="F116" i="1"/>
  <c r="J115" i="1"/>
  <c r="F115" i="1"/>
  <c r="J114" i="1"/>
  <c r="F114" i="1"/>
  <c r="J113" i="1"/>
  <c r="F113" i="1"/>
  <c r="J112" i="1"/>
  <c r="F112" i="1"/>
  <c r="J111" i="1"/>
  <c r="F111" i="1"/>
  <c r="F109" i="1" a="1"/>
  <c r="F109" i="1" s="1"/>
  <c r="J108" i="1"/>
  <c r="F108" i="1"/>
  <c r="J107" i="1"/>
  <c r="F107" i="1"/>
  <c r="F105" i="1" a="1"/>
  <c r="F105" i="1" s="1"/>
  <c r="J104" i="1"/>
  <c r="F104" i="1"/>
  <c r="J103" i="1"/>
  <c r="F103" i="1"/>
  <c r="J102" i="1"/>
  <c r="F102" i="1"/>
  <c r="J101" i="1"/>
  <c r="F101" i="1"/>
  <c r="J100" i="1"/>
  <c r="F100" i="1"/>
  <c r="J99" i="1"/>
  <c r="F99" i="1"/>
  <c r="J97" i="1" a="1"/>
  <c r="J97" i="1" s="1"/>
  <c r="J96" i="1"/>
  <c r="F96" i="1"/>
  <c r="J95" i="1"/>
  <c r="F95" i="1"/>
  <c r="J94" i="1"/>
  <c r="F94" i="1"/>
  <c r="J93" i="1"/>
  <c r="F93" i="1"/>
  <c r="J92" i="1"/>
  <c r="F92" i="1"/>
  <c r="J91" i="1"/>
  <c r="F91" i="1"/>
  <c r="J90" i="1"/>
  <c r="F90" i="1"/>
  <c r="J89" i="1"/>
  <c r="F89" i="1"/>
  <c r="F88" i="1" a="1"/>
  <c r="F88" i="1" s="1"/>
  <c r="J86" i="1" a="1"/>
  <c r="J86" i="1" s="1"/>
  <c r="J85" i="1" a="1"/>
  <c r="J85" i="1" s="1"/>
  <c r="F85" i="1" a="1"/>
  <c r="F85" i="1" s="1"/>
  <c r="J84" i="1" a="1"/>
  <c r="J84" i="1" s="1"/>
  <c r="J82" i="1" a="1"/>
  <c r="J82" i="1" s="1"/>
  <c r="F82" i="1" a="1"/>
  <c r="F82" i="1" s="1"/>
  <c r="J81" i="1" a="1"/>
  <c r="J81" i="1" s="1"/>
  <c r="J80" i="1" a="1"/>
  <c r="J80" i="1" s="1"/>
  <c r="J79" i="1" a="1"/>
  <c r="J79" i="1" s="1"/>
  <c r="F79" i="1" a="1"/>
  <c r="F79" i="1" s="1"/>
  <c r="J78" i="1" a="1"/>
  <c r="J78" i="1" s="1"/>
  <c r="J77" i="1" a="1"/>
  <c r="J77" i="1" s="1"/>
  <c r="J76" i="1"/>
  <c r="F76" i="1"/>
  <c r="J75" i="1"/>
  <c r="F75" i="1"/>
  <c r="J74" i="1"/>
  <c r="F74" i="1"/>
  <c r="J73" i="1"/>
  <c r="F73" i="1"/>
  <c r="J72" i="1"/>
  <c r="F72" i="1"/>
  <c r="J71" i="1"/>
  <c r="F71" i="1"/>
  <c r="J70" i="1"/>
  <c r="F70" i="1"/>
  <c r="J69" i="1"/>
  <c r="F69" i="1"/>
  <c r="J68" i="1"/>
  <c r="F68" i="1"/>
  <c r="J67" i="1"/>
  <c r="F67" i="1"/>
  <c r="J66" i="1"/>
  <c r="F66" i="1"/>
  <c r="J65" i="1"/>
  <c r="F65" i="1"/>
  <c r="J64" i="1"/>
  <c r="F64" i="1"/>
  <c r="J63" i="1"/>
  <c r="F63" i="1"/>
  <c r="J62" i="1"/>
  <c r="F62" i="1"/>
  <c r="J61" i="1"/>
  <c r="F61" i="1"/>
  <c r="J59" i="1"/>
  <c r="F59" i="1"/>
  <c r="J58" i="1"/>
  <c r="F58" i="1"/>
  <c r="J57" i="1"/>
  <c r="F57" i="1"/>
  <c r="J56" i="1"/>
  <c r="F56" i="1"/>
  <c r="J55" i="1"/>
  <c r="F55" i="1"/>
  <c r="J54" i="1"/>
  <c r="F54" i="1"/>
  <c r="J53" i="1"/>
  <c r="F53" i="1"/>
  <c r="J52" i="1"/>
  <c r="F52" i="1"/>
  <c r="J51" i="1"/>
  <c r="F51" i="1"/>
  <c r="J50" i="1"/>
  <c r="F50" i="1"/>
  <c r="J49" i="1"/>
  <c r="F49" i="1"/>
  <c r="J48" i="1"/>
  <c r="F48" i="1"/>
  <c r="J47" i="1"/>
  <c r="F47" i="1"/>
  <c r="J46" i="1"/>
  <c r="F46" i="1"/>
  <c r="J45" i="1"/>
  <c r="F45" i="1"/>
  <c r="J44" i="1"/>
  <c r="J117" i="1" s="1" a="1"/>
  <c r="J117" i="1" s="1"/>
  <c r="F44" i="1"/>
  <c r="J43" i="1"/>
  <c r="F43" i="1"/>
  <c r="J42" i="1"/>
  <c r="F42" i="1"/>
  <c r="J41" i="1"/>
  <c r="F41" i="1"/>
  <c r="J39" i="1"/>
  <c r="F39" i="1"/>
  <c r="F38" i="1" a="1"/>
  <c r="F38" i="1" s="1"/>
  <c r="J37" i="1"/>
  <c r="J110" i="1" s="1" a="1"/>
  <c r="J110" i="1" s="1"/>
  <c r="F37" i="1"/>
  <c r="J36" i="1" a="1"/>
  <c r="J36" i="1" s="1"/>
  <c r="J109" i="1" s="1" a="1"/>
  <c r="J109" i="1" s="1"/>
  <c r="F36" i="1" a="1"/>
  <c r="F36" i="1" s="1"/>
  <c r="J35" i="1"/>
  <c r="F35" i="1"/>
  <c r="J34" i="1"/>
  <c r="F34" i="1"/>
  <c r="J33" i="1"/>
  <c r="J106" i="1" s="1" a="1"/>
  <c r="J106" i="1" s="1"/>
  <c r="F33" i="1"/>
  <c r="J32" i="1"/>
  <c r="J105" i="1" s="1" a="1"/>
  <c r="J105" i="1" s="1"/>
  <c r="F32" i="1"/>
  <c r="J30" i="1"/>
  <c r="F30" i="1"/>
  <c r="J29" i="1"/>
  <c r="F29" i="1"/>
  <c r="J28" i="1" a="1"/>
  <c r="J28" i="1" s="1"/>
  <c r="F28" i="1" a="1"/>
  <c r="F28" i="1" s="1"/>
  <c r="J27" i="1"/>
  <c r="F27" i="1"/>
  <c r="J26" i="1"/>
  <c r="F26" i="1"/>
  <c r="J25" i="1"/>
  <c r="F25" i="1"/>
  <c r="J24" i="1"/>
  <c r="F24" i="1"/>
  <c r="J22" i="1" a="1"/>
  <c r="J22" i="1" s="1"/>
  <c r="F22" i="1" a="1"/>
  <c r="F22" i="1" s="1"/>
  <c r="D21" i="1"/>
  <c r="J20" i="1"/>
  <c r="F20" i="1"/>
  <c r="J19" i="1"/>
  <c r="F19" i="1"/>
  <c r="J18" i="1"/>
  <c r="F18" i="1"/>
  <c r="J17" i="1"/>
  <c r="F17" i="1"/>
  <c r="J16" i="1"/>
  <c r="F16" i="1"/>
  <c r="H15" i="1"/>
  <c r="J15" i="1" s="1"/>
  <c r="J88" i="1" s="1" a="1"/>
  <c r="J88" i="1" s="1"/>
  <c r="D15" i="1"/>
  <c r="F15" i="1" s="1"/>
  <c r="H14" i="1"/>
  <c r="J14" i="1" s="1"/>
  <c r="D14" i="1"/>
  <c r="F14" i="1" s="1"/>
  <c r="F21" i="1" s="1"/>
  <c r="J12" i="1"/>
  <c r="F12" i="1"/>
  <c r="J11" i="1"/>
  <c r="F11" i="1"/>
  <c r="J10" i="1"/>
  <c r="J83" i="1" s="1" a="1"/>
  <c r="J83" i="1" s="1"/>
  <c r="F10" i="1"/>
  <c r="J9" i="1"/>
  <c r="F9" i="1"/>
  <c r="J6" i="1"/>
  <c r="F6" i="1"/>
  <c r="F126" i="1" s="1" a="1"/>
  <c r="F126" i="1" s="1"/>
  <c r="J5" i="1"/>
  <c r="F5" i="1"/>
  <c r="J4" i="1"/>
  <c r="F4" i="1"/>
  <c r="J3" i="1"/>
  <c r="F3" i="1"/>
  <c r="J38" i="1" l="1" a="1"/>
  <c r="J38" i="1" s="1"/>
  <c r="J87" i="1" a="1"/>
  <c r="J87" i="1" s="1"/>
  <c r="J21" i="1"/>
  <c r="F77" i="1" a="1"/>
  <c r="F77" i="1" s="1"/>
  <c r="F80" i="1" a="1"/>
  <c r="F80" i="1" s="1"/>
  <c r="F83" i="1" a="1"/>
  <c r="F83" i="1" s="1"/>
  <c r="F86" i="1" a="1"/>
  <c r="F86" i="1" s="1"/>
  <c r="F106" i="1" a="1"/>
  <c r="F106" i="1" s="1"/>
  <c r="F110" i="1" a="1"/>
  <c r="F110" i="1" s="1"/>
  <c r="F125" i="1" a="1"/>
  <c r="F125" i="1" s="1"/>
  <c r="H21" i="1"/>
  <c r="F78" i="1" a="1"/>
  <c r="F78" i="1" s="1"/>
  <c r="F81" i="1" a="1"/>
  <c r="F81" i="1" s="1"/>
  <c r="F84" i="1" a="1"/>
  <c r="F84" i="1" s="1"/>
  <c r="F87" i="1" a="1"/>
  <c r="F87" i="1" s="1"/>
  <c r="F97" i="1" a="1"/>
  <c r="F97" i="1" s="1"/>
  <c r="F117" i="1" a="1"/>
  <c r="F1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<sst xmlns="http://schemas.openxmlformats.org/spreadsheetml/2006/main" count="626" uniqueCount="153">
  <si>
    <t>S. No.</t>
  </si>
  <si>
    <t>PARAMETERS</t>
  </si>
  <si>
    <t>UoM</t>
  </si>
  <si>
    <t>DESIGN</t>
  </si>
  <si>
    <t>Values (D)</t>
  </si>
  <si>
    <t>OPERATING</t>
  </si>
  <si>
    <t>VALUES (O)</t>
  </si>
  <si>
    <t>BASIC INPUTS</t>
  </si>
  <si>
    <t>LOAD</t>
  </si>
  <si>
    <t>MW</t>
  </si>
  <si>
    <t>AMBIENT PRESSURE</t>
  </si>
  <si>
    <t>bar(a)</t>
  </si>
  <si>
    <t>AMBIENT TEMPERATURE</t>
  </si>
  <si>
    <t>°C</t>
  </si>
  <si>
    <t>RELATIVE HUMIDITY</t>
  </si>
  <si>
    <t>%</t>
  </si>
  <si>
    <t>COAL ANALYSYS</t>
  </si>
  <si>
    <t>PROXIMATE ANALYSIS OF COAL( AFB)</t>
  </si>
  <si>
    <t xml:space="preserve">MOISTURE CONTENT IN COAL </t>
  </si>
  <si>
    <t xml:space="preserve">ASH CONTENT IN COAL </t>
  </si>
  <si>
    <t xml:space="preserve">FIXED CARBON IN COAL </t>
  </si>
  <si>
    <t xml:space="preserve">VOLATILE MATTER IN COAL </t>
  </si>
  <si>
    <t>ULTIMATE ANALYSIS OF COAL( AFB)</t>
  </si>
  <si>
    <t xml:space="preserve">TOTAL CARBON IN COAL  </t>
  </si>
  <si>
    <t xml:space="preserve">HYDROGEN CONTENT IN COAL </t>
  </si>
  <si>
    <t xml:space="preserve">NITROGEN CONTENT IN COAL </t>
  </si>
  <si>
    <t xml:space="preserve">SULPHER CONTENT IN COAL </t>
  </si>
  <si>
    <t xml:space="preserve">OXYGEN CONTENT IN COAL </t>
  </si>
  <si>
    <t>SUM</t>
  </si>
  <si>
    <t>GCV OF COAL</t>
  </si>
  <si>
    <t>kCal/kg</t>
  </si>
  <si>
    <t>LOSS OF IGNITION</t>
  </si>
  <si>
    <t>UNBURNT CARBON IN FLY ASH</t>
  </si>
  <si>
    <t>UNBURNT CARBON IN BOTTOM ASH</t>
  </si>
  <si>
    <t>% of Flyash to Total Ash</t>
  </si>
  <si>
    <t>% of Bottom ash to Total Ash</t>
  </si>
  <si>
    <t>MS PRESSURE AT BOILER O/L</t>
  </si>
  <si>
    <t>MPa (a)</t>
  </si>
  <si>
    <t>MS FLOW</t>
  </si>
  <si>
    <t>TPH</t>
  </si>
  <si>
    <t>kg/h</t>
  </si>
  <si>
    <t>TOTAL FEED WATER FLOW</t>
  </si>
  <si>
    <t>DESUPERHEATING</t>
  </si>
  <si>
    <t>RH LHS DESUP FLOW</t>
  </si>
  <si>
    <t>RH RHS DESUP FLOW</t>
  </si>
  <si>
    <t>1ST STAGE SHS DESUP FLOW</t>
  </si>
  <si>
    <t>2ND STAGE SHS DESUP FLOW</t>
  </si>
  <si>
    <t>SH SPRAY WATER PRESSURE</t>
  </si>
  <si>
    <t>SH SPRAY WATER TEMP</t>
  </si>
  <si>
    <t>RH SPRAY WATER PRESSURE</t>
  </si>
  <si>
    <t>RH SPRAY WATER TEMP</t>
  </si>
  <si>
    <t>PULVERISER</t>
  </si>
  <si>
    <t>MILL-A CURRENT</t>
  </si>
  <si>
    <t>Amps</t>
  </si>
  <si>
    <t>MILL-B CURRENT</t>
  </si>
  <si>
    <t>MILL-C CURRENT</t>
  </si>
  <si>
    <t>MILL-D CURRENT</t>
  </si>
  <si>
    <t>MILL-E CURRENT</t>
  </si>
  <si>
    <t>MILL-F CURRENT</t>
  </si>
  <si>
    <t>MILL- A COAL FLOW</t>
  </si>
  <si>
    <t>MILL- B COAL FLOW</t>
  </si>
  <si>
    <t>MILL- C COAL FLOW</t>
  </si>
  <si>
    <t>MILL- D COAL FLOW</t>
  </si>
  <si>
    <t>MILL- E COAL FLOW</t>
  </si>
  <si>
    <t>MILL- F COAL FLOW</t>
  </si>
  <si>
    <t>TOTAL COAL FLOW</t>
  </si>
  <si>
    <t>MILL-A O/L TEMP</t>
  </si>
  <si>
    <t>MILL-B O/L TEMP</t>
  </si>
  <si>
    <t>MILL-C O/L TEMP</t>
  </si>
  <si>
    <t>MILL-D O/L TEMP</t>
  </si>
  <si>
    <t>MILL-E O/L TEMP</t>
  </si>
  <si>
    <t>MILL-F O/L TEMP</t>
  </si>
  <si>
    <t>APH</t>
  </si>
  <si>
    <t>APH-A I/L FLUE GAS TEMP-1</t>
  </si>
  <si>
    <t>APH-A I/L FLUE GAS TEMP-2</t>
  </si>
  <si>
    <t>APH-A O/L FLUE GAS TEMP-1</t>
  </si>
  <si>
    <t>APH-A FLUE GAS O/L TEMP-2</t>
  </si>
  <si>
    <t>APH-B I/L FLUE GAS TEMP-1</t>
  </si>
  <si>
    <t>APH-B I/L FLUE GAS TEMP-2</t>
  </si>
  <si>
    <t>APH-B O/L FLUE GAS TEMP-1</t>
  </si>
  <si>
    <t>APH-B FLUE GAS O/L TEMP-2</t>
  </si>
  <si>
    <t>APH-A PA I/L TEMP</t>
  </si>
  <si>
    <t>APH-B PA I/L TEMP</t>
  </si>
  <si>
    <t>APH -A OUT PRI AIR TEMP</t>
  </si>
  <si>
    <t>APH -B OUT PRI AIR TEMP</t>
  </si>
  <si>
    <t>APH -A SEC. AIR IN TEMP</t>
  </si>
  <si>
    <t>APH -B SEC. AIR IN TEMP</t>
  </si>
  <si>
    <t>APH -A SEC AIR OUTLET TEMP</t>
  </si>
  <si>
    <t>APH -B SEC AIR OUTLET TEMP</t>
  </si>
  <si>
    <t>APH -A INLET P.A PRESSURE</t>
  </si>
  <si>
    <t>kPa (a)</t>
  </si>
  <si>
    <t>APH -B INLET P.A PRESSURE</t>
  </si>
  <si>
    <t>PA HEADER PRESSURE APH-A O/L</t>
  </si>
  <si>
    <t>PA HEADER PRESSURE APH-B O/L</t>
  </si>
  <si>
    <t>APH -A INLET S.A PRESSURE</t>
  </si>
  <si>
    <t>APH -B INLET S.A PRESSURE</t>
  </si>
  <si>
    <t>APH -A OUTLET S.A PRESSURE</t>
  </si>
  <si>
    <t>APH -B OUTLET S.A PRESSURE</t>
  </si>
  <si>
    <t>APH-A INLET FLUE GAS PRESSURE</t>
  </si>
  <si>
    <t>APH-B INLET FLUE GAS PRESSURE</t>
  </si>
  <si>
    <t>APH-A OUTLET FLUE GAS PRESSURE</t>
  </si>
  <si>
    <t>APH-B OUTLET FLUE GAS PRESSURE</t>
  </si>
  <si>
    <t>APH-A I/L FLUE GAS OXYGEN CONTENT</t>
  </si>
  <si>
    <t>APH-A O/L FLUE GAS OXYGEN CONTENT</t>
  </si>
  <si>
    <t>APH-B I/L FLUE GAS OXYGEN CONTENT</t>
  </si>
  <si>
    <t>APH-B O/L FLUE GAS OXYGEN CONTENT</t>
  </si>
  <si>
    <t>TOTAL SEC AIR FLOW</t>
  </si>
  <si>
    <t>TOTAL PRIMARY AIR FLOW</t>
  </si>
  <si>
    <t>BURNER TILT POSITION</t>
  </si>
  <si>
    <t>FURNACE DRAFT SET POINT</t>
  </si>
  <si>
    <t>PA HEADER PRESSURE SET POINT</t>
  </si>
  <si>
    <t>FANS: ID, FD &amp; PA</t>
  </si>
  <si>
    <t>FD FAN A CURRENT</t>
  </si>
  <si>
    <t>FD FAN B CURRENT</t>
  </si>
  <si>
    <t>FDF-A BLADE PITCH</t>
  </si>
  <si>
    <t>FDF-B BLADE PITCH</t>
  </si>
  <si>
    <t>FDF-A I/L SA TEMP</t>
  </si>
  <si>
    <t>FDF-B I/L SA TEMP</t>
  </si>
  <si>
    <t>FDF-A DISCHARGE PRESS</t>
  </si>
  <si>
    <t>FDF-B DISCHARGE PRESS</t>
  </si>
  <si>
    <t>ID Fan A Current</t>
  </si>
  <si>
    <t>ID Fan B Current</t>
  </si>
  <si>
    <t>IDF-A I/L PRESS</t>
  </si>
  <si>
    <t>IDF-B I/L PRESS</t>
  </si>
  <si>
    <t>IDF-A I/L TEMP</t>
  </si>
  <si>
    <t>IDF-B I/L TEMP</t>
  </si>
  <si>
    <t>IDF-A SCOOP POSITION</t>
  </si>
  <si>
    <t>-2.41 B</t>
  </si>
  <si>
    <t>IDF-B SCOOP POSITION</t>
  </si>
  <si>
    <t>0.45 B</t>
  </si>
  <si>
    <t>IDF-A SPEED</t>
  </si>
  <si>
    <t>RPM</t>
  </si>
  <si>
    <t>IDF-B SPEED</t>
  </si>
  <si>
    <t>IDF-A DISCHARGE PRESS</t>
  </si>
  <si>
    <t>IDF-B DISCHARGE PRESS</t>
  </si>
  <si>
    <t>PAF-A CURRENT</t>
  </si>
  <si>
    <t>PAF-B CURRENT</t>
  </si>
  <si>
    <t>PAF-A SCOOP POSITION</t>
  </si>
  <si>
    <t>PAF-B SCOOP POSITION</t>
  </si>
  <si>
    <t>PAF-A SPEED</t>
  </si>
  <si>
    <t>PAF-B SPEED</t>
  </si>
  <si>
    <t>PAF-A DISCHARGE PRESS</t>
  </si>
  <si>
    <t>PAF-B DISCHARGE PRESS</t>
  </si>
  <si>
    <t>ID FAN-A VFD CURRENT</t>
  </si>
  <si>
    <t>ID FAN-B VFD CURRENT</t>
  </si>
  <si>
    <t>CEMS</t>
  </si>
  <si>
    <t>FG TEMP AT CHIMNEY</t>
  </si>
  <si>
    <t>3.49 B</t>
  </si>
  <si>
    <t>CHIMNEY NOX</t>
  </si>
  <si>
    <t>CHIMNEY SOX</t>
  </si>
  <si>
    <t>CHIMNEY SPM</t>
  </si>
  <si>
    <t>-1.16 B</t>
  </si>
  <si>
    <t>Radiation &amp; Unaccounted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</si>
</sst>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7317-A904-4266-B28E-02F11BAD1903}">
  <dimension ref="A1:J134"/>
  <sheetViews>
    <sheetView tabSelected="1" workbookViewId="0">
      <selection activeCell="K5" sqref="K5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2</v>
      </c>
      <c r="F1" s="4" t="s">
        <v>4</v>
      </c>
      <c r="G1" s="2" t="s">
        <v>2</v>
      </c>
      <c r="H1" s="3" t="s">
        <v>5</v>
      </c>
      <c r="I1" s="2" t="s">
        <v>2</v>
      </c>
      <c r="J1" s="4" t="s">
        <v>6</v>
      </c>
    </row>
    <row r="2" spans="1:10" x14ac:dyDescent="0.35">
      <c r="A2" s="1"/>
      <c r="B2" s="5" t="s">
        <v>7</v>
      </c>
      <c r="C2" s="2"/>
      <c r="D2" s="4"/>
      <c r="E2" s="2"/>
      <c r="F2" s="4"/>
      <c r="G2" s="2"/>
      <c r="H2" s="4"/>
      <c r="I2" s="2"/>
      <c r="J2" s="6"/>
    </row>
    <row r="3" spans="1:10" x14ac:dyDescent="0.35">
      <c r="A3" s="7">
        <v>1</v>
      </c>
      <c r="B3" s="6" t="s">
        <v>8</v>
      </c>
      <c r="C3" s="7" t="s">
        <v>9</v>
      </c>
      <c r="D3" s="8">
        <v>300</v>
      </c>
      <c r="E3" s="7" t="s">
        <v>9</v>
      </c>
      <c r="F3" s="8">
        <f>D3</f>
        <v>300</v>
      </c>
      <c r="G3" s="7" t="s">
        <v>9</v>
      </c>
      <c r="H3" s="8">
        <v>299.5</v>
      </c>
      <c r="I3" s="7" t="s">
        <v>9</v>
      </c>
      <c r="J3" s="8">
        <f>H3</f>
        <v>299.5</v>
      </c>
    </row>
    <row r="4" spans="1:10" x14ac:dyDescent="0.35">
      <c r="A4" s="7">
        <v>6</v>
      </c>
      <c r="B4" s="6" t="s">
        <v>10</v>
      </c>
      <c r="C4" s="7" t="s">
        <v>11</v>
      </c>
      <c r="D4" s="7">
        <v>1.0129999999999999</v>
      </c>
      <c r="E4" s="7" t="s">
        <v>11</v>
      </c>
      <c r="F4" s="9">
        <f>D4</f>
        <v>1.0129999999999999</v>
      </c>
      <c r="G4" s="7" t="s">
        <v>11</v>
      </c>
      <c r="H4" s="7">
        <v>1.0129999999999999</v>
      </c>
      <c r="I4" s="7" t="s">
        <v>11</v>
      </c>
      <c r="J4" s="9">
        <f>H4</f>
        <v>1.0129999999999999</v>
      </c>
    </row>
    <row r="5" spans="1:10" x14ac:dyDescent="0.35">
      <c r="A5" s="7">
        <v>7</v>
      </c>
      <c r="B5" s="6" t="s">
        <v>12</v>
      </c>
      <c r="C5" s="7" t="s">
        <v>13</v>
      </c>
      <c r="D5" s="7">
        <v>27.5</v>
      </c>
      <c r="E5" s="7" t="s">
        <v>13</v>
      </c>
      <c r="F5" s="7">
        <f>D5</f>
        <v>27.5</v>
      </c>
      <c r="G5" s="7" t="s">
        <v>13</v>
      </c>
      <c r="H5" s="7">
        <v>27.5</v>
      </c>
      <c r="I5" s="7" t="s">
        <v>13</v>
      </c>
      <c r="J5" s="7">
        <f>H5</f>
        <v>27.5</v>
      </c>
    </row>
    <row r="6" spans="1:10" x14ac:dyDescent="0.35">
      <c r="A6" s="7">
        <v>8</v>
      </c>
      <c r="B6" s="6" t="s">
        <v>14</v>
      </c>
      <c r="C6" s="7" t="s">
        <v>15</v>
      </c>
      <c r="D6" s="7">
        <v>60</v>
      </c>
      <c r="E6" s="7" t="s">
        <v>15</v>
      </c>
      <c r="F6" s="7">
        <f>D6</f>
        <v>60</v>
      </c>
      <c r="G6" s="7" t="s">
        <v>15</v>
      </c>
      <c r="H6" s="7">
        <v>60</v>
      </c>
      <c r="I6" s="7" t="s">
        <v>15</v>
      </c>
      <c r="J6" s="7">
        <f>H6</f>
        <v>60</v>
      </c>
    </row>
    <row r="7" spans="1:10" x14ac:dyDescent="0.35">
      <c r="A7" s="7"/>
      <c r="B7" s="5" t="s">
        <v>16</v>
      </c>
      <c r="C7" s="7"/>
      <c r="D7" s="8"/>
      <c r="E7" s="7"/>
      <c r="F7" s="8"/>
      <c r="G7" s="7"/>
      <c r="H7" s="8"/>
      <c r="I7" s="7"/>
      <c r="J7" s="8"/>
    </row>
    <row r="8" spans="1:10" x14ac:dyDescent="0.35">
      <c r="A8" s="7"/>
      <c r="B8" s="5" t="s">
        <v>17</v>
      </c>
      <c r="C8" s="7"/>
      <c r="D8" s="7"/>
      <c r="E8" s="7"/>
      <c r="F8" s="7"/>
      <c r="G8" s="7"/>
      <c r="H8" s="7"/>
      <c r="I8" s="7"/>
      <c r="J8" s="7"/>
    </row>
    <row r="9" spans="1:10" x14ac:dyDescent="0.35">
      <c r="A9" s="7">
        <v>2</v>
      </c>
      <c r="B9" s="6" t="s">
        <v>18</v>
      </c>
      <c r="C9" s="7" t="s">
        <v>15</v>
      </c>
      <c r="D9" s="7">
        <v>11</v>
      </c>
      <c r="E9" s="7" t="s">
        <v>15</v>
      </c>
      <c r="F9" s="7">
        <f>D9</f>
        <v>11</v>
      </c>
      <c r="G9" s="7" t="s">
        <v>15</v>
      </c>
      <c r="H9" s="7">
        <v>11</v>
      </c>
      <c r="I9" s="7" t="s">
        <v>15</v>
      </c>
      <c r="J9" s="7">
        <f>H9</f>
        <v>11</v>
      </c>
    </row>
    <row r="10" spans="1:10" x14ac:dyDescent="0.35">
      <c r="A10" s="7">
        <v>3</v>
      </c>
      <c r="B10" s="6" t="s">
        <v>19</v>
      </c>
      <c r="C10" s="7" t="s">
        <v>15</v>
      </c>
      <c r="D10" s="8">
        <v>11.12</v>
      </c>
      <c r="E10" s="7" t="s">
        <v>15</v>
      </c>
      <c r="F10" s="7">
        <f t="shared" ref="F10:F20" si="0">D10</f>
        <v>11.12</v>
      </c>
      <c r="G10" s="7" t="s">
        <v>15</v>
      </c>
      <c r="H10" s="8">
        <v>11.12</v>
      </c>
      <c r="I10" s="7" t="s">
        <v>15</v>
      </c>
      <c r="J10" s="7">
        <f t="shared" ref="J10:J20" si="1">H10</f>
        <v>11.12</v>
      </c>
    </row>
    <row r="11" spans="1:10" x14ac:dyDescent="0.35">
      <c r="A11" s="7">
        <v>4</v>
      </c>
      <c r="B11" s="6" t="s">
        <v>20</v>
      </c>
      <c r="C11" s="7" t="s">
        <v>15</v>
      </c>
      <c r="D11" s="7">
        <v>46.22</v>
      </c>
      <c r="E11" s="7" t="s">
        <v>15</v>
      </c>
      <c r="F11" s="7">
        <f t="shared" si="0"/>
        <v>46.22</v>
      </c>
      <c r="G11" s="7" t="s">
        <v>15</v>
      </c>
      <c r="H11" s="7">
        <v>46.22</v>
      </c>
      <c r="I11" s="7" t="s">
        <v>15</v>
      </c>
      <c r="J11" s="7">
        <f t="shared" si="1"/>
        <v>46.22</v>
      </c>
    </row>
    <row r="12" spans="1:10" x14ac:dyDescent="0.35">
      <c r="A12" s="7">
        <v>5</v>
      </c>
      <c r="B12" s="6" t="s">
        <v>21</v>
      </c>
      <c r="C12" s="7" t="s">
        <v>15</v>
      </c>
      <c r="D12" s="7">
        <v>31.66</v>
      </c>
      <c r="E12" s="7" t="s">
        <v>15</v>
      </c>
      <c r="F12" s="7">
        <f t="shared" si="0"/>
        <v>31.66</v>
      </c>
      <c r="G12" s="7" t="s">
        <v>15</v>
      </c>
      <c r="H12" s="7">
        <v>31.66</v>
      </c>
      <c r="I12" s="7" t="s">
        <v>15</v>
      </c>
      <c r="J12" s="7">
        <f t="shared" si="1"/>
        <v>31.66</v>
      </c>
    </row>
    <row r="13" spans="1:10" x14ac:dyDescent="0.35">
      <c r="A13" s="7"/>
      <c r="B13" s="5" t="s">
        <v>22</v>
      </c>
      <c r="C13" s="7"/>
      <c r="D13" s="7"/>
      <c r="E13" s="7"/>
      <c r="F13" s="7"/>
      <c r="G13" s="7"/>
      <c r="H13" s="7"/>
      <c r="I13" s="7"/>
      <c r="J13" s="7"/>
    </row>
    <row r="14" spans="1:10" x14ac:dyDescent="0.35">
      <c r="A14" s="7">
        <v>6</v>
      </c>
      <c r="B14" s="6" t="s">
        <v>18</v>
      </c>
      <c r="C14" s="7" t="s">
        <v>15</v>
      </c>
      <c r="D14" s="7">
        <f>D9</f>
        <v>11</v>
      </c>
      <c r="E14" s="7" t="s">
        <v>15</v>
      </c>
      <c r="F14" s="7">
        <f t="shared" si="0"/>
        <v>11</v>
      </c>
      <c r="G14" s="7" t="s">
        <v>15</v>
      </c>
      <c r="H14" s="7">
        <f>H9</f>
        <v>11</v>
      </c>
      <c r="I14" s="7" t="s">
        <v>15</v>
      </c>
      <c r="J14" s="7">
        <f t="shared" si="1"/>
        <v>11</v>
      </c>
    </row>
    <row r="15" spans="1:10" x14ac:dyDescent="0.35">
      <c r="A15" s="7">
        <v>7</v>
      </c>
      <c r="B15" s="6" t="s">
        <v>19</v>
      </c>
      <c r="C15" s="7" t="s">
        <v>15</v>
      </c>
      <c r="D15" s="8">
        <f>D10</f>
        <v>11.12</v>
      </c>
      <c r="E15" s="7" t="s">
        <v>15</v>
      </c>
      <c r="F15" s="7">
        <f t="shared" si="0"/>
        <v>11.12</v>
      </c>
      <c r="G15" s="7" t="s">
        <v>15</v>
      </c>
      <c r="H15" s="8">
        <f>H10</f>
        <v>11.12</v>
      </c>
      <c r="I15" s="7" t="s">
        <v>15</v>
      </c>
      <c r="J15" s="7">
        <f t="shared" si="1"/>
        <v>11.12</v>
      </c>
    </row>
    <row r="16" spans="1:10" x14ac:dyDescent="0.35">
      <c r="A16" s="7">
        <v>8</v>
      </c>
      <c r="B16" s="6" t="s">
        <v>23</v>
      </c>
      <c r="C16" s="7" t="s">
        <v>15</v>
      </c>
      <c r="D16" s="7">
        <v>64.599999999999994</v>
      </c>
      <c r="E16" s="7" t="s">
        <v>15</v>
      </c>
      <c r="F16" s="7">
        <f t="shared" si="0"/>
        <v>64.599999999999994</v>
      </c>
      <c r="G16" s="7" t="s">
        <v>15</v>
      </c>
      <c r="H16" s="7">
        <v>64.599999999999994</v>
      </c>
      <c r="I16" s="7" t="s">
        <v>15</v>
      </c>
      <c r="J16" s="7">
        <f t="shared" si="1"/>
        <v>64.599999999999994</v>
      </c>
    </row>
    <row r="17" spans="1:10" x14ac:dyDescent="0.35">
      <c r="A17" s="7">
        <v>9</v>
      </c>
      <c r="B17" s="6" t="s">
        <v>24</v>
      </c>
      <c r="C17" s="7" t="s">
        <v>15</v>
      </c>
      <c r="D17" s="7">
        <v>4.75</v>
      </c>
      <c r="E17" s="7" t="s">
        <v>15</v>
      </c>
      <c r="F17" s="7">
        <f t="shared" si="0"/>
        <v>4.75</v>
      </c>
      <c r="G17" s="7" t="s">
        <v>15</v>
      </c>
      <c r="H17" s="7">
        <v>4.75</v>
      </c>
      <c r="I17" s="7" t="s">
        <v>15</v>
      </c>
      <c r="J17" s="7">
        <f t="shared" si="1"/>
        <v>4.75</v>
      </c>
    </row>
    <row r="18" spans="1:10" x14ac:dyDescent="0.35">
      <c r="A18" s="7">
        <v>10</v>
      </c>
      <c r="B18" s="6" t="s">
        <v>25</v>
      </c>
      <c r="C18" s="7" t="s">
        <v>15</v>
      </c>
      <c r="D18" s="7">
        <v>2.2400000000000002</v>
      </c>
      <c r="E18" s="7" t="s">
        <v>15</v>
      </c>
      <c r="F18" s="7">
        <f t="shared" si="0"/>
        <v>2.2400000000000002</v>
      </c>
      <c r="G18" s="7" t="s">
        <v>15</v>
      </c>
      <c r="H18" s="7">
        <v>2.2400000000000002</v>
      </c>
      <c r="I18" s="7" t="s">
        <v>15</v>
      </c>
      <c r="J18" s="7">
        <f t="shared" si="1"/>
        <v>2.2400000000000002</v>
      </c>
    </row>
    <row r="19" spans="1:10" x14ac:dyDescent="0.35">
      <c r="A19" s="7">
        <v>11</v>
      </c>
      <c r="B19" s="6" t="s">
        <v>26</v>
      </c>
      <c r="C19" s="7" t="s">
        <v>15</v>
      </c>
      <c r="D19" s="7">
        <v>0.3</v>
      </c>
      <c r="E19" s="7" t="s">
        <v>15</v>
      </c>
      <c r="F19" s="7">
        <f t="shared" si="0"/>
        <v>0.3</v>
      </c>
      <c r="G19" s="7" t="s">
        <v>15</v>
      </c>
      <c r="H19" s="7">
        <v>0.3</v>
      </c>
      <c r="I19" s="7" t="s">
        <v>15</v>
      </c>
      <c r="J19" s="7">
        <f t="shared" si="1"/>
        <v>0.3</v>
      </c>
    </row>
    <row r="20" spans="1:10" x14ac:dyDescent="0.35">
      <c r="A20" s="7">
        <v>12</v>
      </c>
      <c r="B20" s="6" t="s">
        <v>27</v>
      </c>
      <c r="C20" s="7" t="s">
        <v>15</v>
      </c>
      <c r="D20" s="7">
        <v>5.99</v>
      </c>
      <c r="E20" s="7" t="s">
        <v>15</v>
      </c>
      <c r="F20" s="7">
        <f t="shared" si="0"/>
        <v>5.99</v>
      </c>
      <c r="G20" s="7" t="s">
        <v>15</v>
      </c>
      <c r="H20" s="7">
        <v>5.99</v>
      </c>
      <c r="I20" s="7" t="s">
        <v>15</v>
      </c>
      <c r="J20" s="7">
        <f t="shared" si="1"/>
        <v>5.99</v>
      </c>
    </row>
    <row r="21" spans="1:10" x14ac:dyDescent="0.35">
      <c r="A21" s="7"/>
      <c r="B21" s="6" t="s">
        <v>28</v>
      </c>
      <c r="C21" s="7" t="s">
        <v>15</v>
      </c>
      <c r="D21" s="7">
        <f>SUM(D14:D20)</f>
        <v>99.999999999999986</v>
      </c>
      <c r="E21" s="7" t="s">
        <v>15</v>
      </c>
      <c r="F21" s="7">
        <f>SUM(F14:F20)</f>
        <v>99.999999999999986</v>
      </c>
      <c r="G21" s="7" t="s">
        <v>15</v>
      </c>
      <c r="H21" s="7">
        <f>SUM(H14:H20)</f>
        <v>99.999999999999986</v>
      </c>
      <c r="I21" s="7"/>
      <c r="J21" s="7">
        <f>SUM(J14:J20)</f>
        <v>99.999999999999986</v>
      </c>
    </row>
    <row r="22" spans="1:10" x14ac:dyDescent="0.35">
      <c r="A22" s="7">
        <v>13</v>
      </c>
      <c r="B22" s="6" t="s">
        <v>29</v>
      </c>
      <c r="C22" s="7" t="s">
        <v>30</v>
      </c>
      <c r="D22" s="7">
        <v>6300</v>
      </c>
      <c r="E22" s="7" t="s">
        <v>30</v>
      </c>
      <c r="F22" s="7" cm="1">
        <f t="array" ref="F22">_xlfn.IFS(C22="kCal/kg",D22,C22="kJ/kg",D22/4.184)</f>
        <v>6300</v>
      </c>
      <c r="G22" s="7" t="s">
        <v>30</v>
      </c>
      <c r="H22" s="7">
        <v>6300</v>
      </c>
      <c r="I22" s="7" t="s">
        <v>30</v>
      </c>
      <c r="J22" s="7" cm="1">
        <f t="array" ref="J22">_xlfn.IFS(G22="kCal/kg",H22,G22="kJ/kg",H22/4.184)</f>
        <v>6300</v>
      </c>
    </row>
    <row r="23" spans="1:10" x14ac:dyDescent="0.35">
      <c r="A23" s="7"/>
      <c r="B23" s="5" t="s">
        <v>31</v>
      </c>
      <c r="C23" s="7"/>
      <c r="D23" s="7"/>
      <c r="E23" s="7"/>
      <c r="F23" s="7"/>
      <c r="G23" s="7"/>
      <c r="H23" s="7"/>
      <c r="I23" s="7"/>
      <c r="J23" s="7"/>
    </row>
    <row r="24" spans="1:10" x14ac:dyDescent="0.35">
      <c r="A24" s="7">
        <v>14</v>
      </c>
      <c r="B24" s="6" t="s">
        <v>32</v>
      </c>
      <c r="C24" s="7" t="s">
        <v>15</v>
      </c>
      <c r="D24" s="7">
        <v>3.4</v>
      </c>
      <c r="E24" s="7" t="s">
        <v>15</v>
      </c>
      <c r="F24" s="7">
        <f t="shared" ref="F24:F27" si="2">D24</f>
        <v>3.4</v>
      </c>
      <c r="G24" s="7" t="s">
        <v>15</v>
      </c>
      <c r="H24" s="7">
        <v>3.4</v>
      </c>
      <c r="I24" s="7" t="s">
        <v>15</v>
      </c>
      <c r="J24" s="7">
        <f t="shared" ref="J24:J27" si="3">H24</f>
        <v>3.4</v>
      </c>
    </row>
    <row r="25" spans="1:10" x14ac:dyDescent="0.35">
      <c r="A25" s="7">
        <v>15</v>
      </c>
      <c r="B25" s="6" t="s">
        <v>33</v>
      </c>
      <c r="C25" s="7" t="s">
        <v>15</v>
      </c>
      <c r="D25" s="7">
        <v>3.4</v>
      </c>
      <c r="E25" s="7" t="s">
        <v>15</v>
      </c>
      <c r="F25" s="7">
        <f t="shared" si="2"/>
        <v>3.4</v>
      </c>
      <c r="G25" s="7" t="s">
        <v>15</v>
      </c>
      <c r="H25" s="7">
        <v>3.4</v>
      </c>
      <c r="I25" s="7" t="s">
        <v>15</v>
      </c>
      <c r="J25" s="7">
        <f t="shared" si="3"/>
        <v>3.4</v>
      </c>
    </row>
    <row r="26" spans="1:10" x14ac:dyDescent="0.35">
      <c r="A26" s="7">
        <v>16</v>
      </c>
      <c r="B26" s="6" t="s">
        <v>34</v>
      </c>
      <c r="C26" s="7" t="s">
        <v>15</v>
      </c>
      <c r="D26" s="7">
        <v>90</v>
      </c>
      <c r="E26" s="7" t="s">
        <v>15</v>
      </c>
      <c r="F26" s="7">
        <f t="shared" si="2"/>
        <v>90</v>
      </c>
      <c r="G26" s="7" t="s">
        <v>15</v>
      </c>
      <c r="H26" s="7">
        <v>90</v>
      </c>
      <c r="I26" s="7" t="s">
        <v>15</v>
      </c>
      <c r="J26" s="7">
        <f t="shared" si="3"/>
        <v>90</v>
      </c>
    </row>
    <row r="27" spans="1:10" x14ac:dyDescent="0.35">
      <c r="A27" s="7">
        <v>17</v>
      </c>
      <c r="B27" s="6" t="s">
        <v>35</v>
      </c>
      <c r="C27" s="7" t="s">
        <v>15</v>
      </c>
      <c r="D27" s="7">
        <v>10</v>
      </c>
      <c r="E27" s="7" t="s">
        <v>15</v>
      </c>
      <c r="F27" s="7">
        <f t="shared" si="2"/>
        <v>10</v>
      </c>
      <c r="G27" s="7" t="s">
        <v>15</v>
      </c>
      <c r="H27" s="7">
        <v>10</v>
      </c>
      <c r="I27" s="7" t="s">
        <v>15</v>
      </c>
      <c r="J27" s="7">
        <f t="shared" si="3"/>
        <v>10</v>
      </c>
    </row>
    <row r="28" spans="1:10" x14ac:dyDescent="0.35">
      <c r="A28" s="7">
        <v>18</v>
      </c>
      <c r="B28" s="6" t="s">
        <v>36</v>
      </c>
      <c r="C28" s="7" t="s">
        <v>37</v>
      </c>
      <c r="D28" s="8">
        <v>16.89</v>
      </c>
      <c r="E28" s="7" t="s">
        <v>11</v>
      </c>
      <c r="F28" s="8" cm="1">
        <f t="array" ref="F28">_xlfn.IFS(C28="MPa (a)", D28*10,C28="MPa (g)",D28*10+$F$6,C28="bar(a)",D28, C28="bar (g)",D28+$F$6)</f>
        <v>168.9</v>
      </c>
      <c r="G28" s="7" t="s">
        <v>37</v>
      </c>
      <c r="H28" s="8">
        <v>11.94</v>
      </c>
      <c r="I28" s="7" t="s">
        <v>11</v>
      </c>
      <c r="J28" s="8" cm="1">
        <f t="array" ref="J28">_xlfn.IFS(G28="MPa (a)", H28*10,G28="MPa (g)",H28*10+J4,G28="bar(a)",H28, G28="bar (g)",H28+J4)</f>
        <v>119.39999999999999</v>
      </c>
    </row>
    <row r="29" spans="1:10" x14ac:dyDescent="0.35">
      <c r="A29" s="7">
        <v>19</v>
      </c>
      <c r="B29" s="6" t="s">
        <v>38</v>
      </c>
      <c r="C29" s="7" t="s">
        <v>39</v>
      </c>
      <c r="D29" s="8">
        <v>906.2</v>
      </c>
      <c r="E29" s="7" t="s">
        <v>40</v>
      </c>
      <c r="F29" s="8">
        <f>D29*1000</f>
        <v>906200</v>
      </c>
      <c r="G29" s="7" t="s">
        <v>39</v>
      </c>
      <c r="H29" s="8">
        <v>906.2</v>
      </c>
      <c r="I29" s="7" t="s">
        <v>40</v>
      </c>
      <c r="J29" s="8">
        <f>H29*1000</f>
        <v>906200</v>
      </c>
    </row>
    <row r="30" spans="1:10" x14ac:dyDescent="0.35">
      <c r="A30" s="7">
        <v>20</v>
      </c>
      <c r="B30" s="6" t="s">
        <v>41</v>
      </c>
      <c r="C30" s="7" t="s">
        <v>39</v>
      </c>
      <c r="D30" s="8">
        <v>971.09</v>
      </c>
      <c r="E30" s="7" t="s">
        <v>40</v>
      </c>
      <c r="F30" s="8">
        <f>D30*1000</f>
        <v>971090</v>
      </c>
      <c r="G30" s="7" t="s">
        <v>39</v>
      </c>
      <c r="H30" s="8">
        <v>971.09</v>
      </c>
      <c r="I30" s="7" t="s">
        <v>40</v>
      </c>
      <c r="J30" s="8">
        <f>H30*1000</f>
        <v>971090</v>
      </c>
    </row>
    <row r="31" spans="1:10" x14ac:dyDescent="0.35">
      <c r="A31" s="7"/>
      <c r="B31" s="5" t="s">
        <v>42</v>
      </c>
      <c r="C31" s="7"/>
      <c r="D31" s="8"/>
      <c r="E31" s="7"/>
      <c r="F31" s="8"/>
      <c r="G31" s="7"/>
      <c r="H31" s="8"/>
      <c r="I31" s="7"/>
      <c r="J31" s="8"/>
    </row>
    <row r="32" spans="1:10" x14ac:dyDescent="0.35">
      <c r="A32" s="7">
        <v>21</v>
      </c>
      <c r="B32" s="6" t="s">
        <v>43</v>
      </c>
      <c r="C32" s="7" t="s">
        <v>39</v>
      </c>
      <c r="D32" s="8">
        <v>0</v>
      </c>
      <c r="E32" s="7" t="s">
        <v>40</v>
      </c>
      <c r="F32" s="8">
        <f t="shared" ref="F32:F35" si="4">D32*1000</f>
        <v>0</v>
      </c>
      <c r="G32" s="7" t="s">
        <v>39</v>
      </c>
      <c r="H32" s="8">
        <v>0</v>
      </c>
      <c r="I32" s="7" t="s">
        <v>40</v>
      </c>
      <c r="J32" s="8">
        <f t="shared" ref="J32:J35" si="5">H32*1000</f>
        <v>0</v>
      </c>
    </row>
    <row r="33" spans="1:10" x14ac:dyDescent="0.35">
      <c r="A33" s="7">
        <v>22</v>
      </c>
      <c r="B33" s="6" t="s">
        <v>44</v>
      </c>
      <c r="C33" s="7" t="s">
        <v>39</v>
      </c>
      <c r="D33" s="8">
        <v>2.99</v>
      </c>
      <c r="E33" s="7" t="s">
        <v>40</v>
      </c>
      <c r="F33" s="8">
        <f t="shared" si="4"/>
        <v>2990</v>
      </c>
      <c r="G33" s="7" t="s">
        <v>39</v>
      </c>
      <c r="H33" s="8">
        <v>2.99</v>
      </c>
      <c r="I33" s="7" t="s">
        <v>40</v>
      </c>
      <c r="J33" s="8">
        <f t="shared" si="5"/>
        <v>2990</v>
      </c>
    </row>
    <row r="34" spans="1:10" x14ac:dyDescent="0.35">
      <c r="A34" s="7">
        <v>23</v>
      </c>
      <c r="B34" s="6" t="s">
        <v>45</v>
      </c>
      <c r="C34" s="7" t="s">
        <v>39</v>
      </c>
      <c r="D34" s="8">
        <v>1.76</v>
      </c>
      <c r="E34" s="7" t="s">
        <v>40</v>
      </c>
      <c r="F34" s="8">
        <f t="shared" si="4"/>
        <v>1760</v>
      </c>
      <c r="G34" s="7" t="s">
        <v>39</v>
      </c>
      <c r="H34" s="8">
        <v>1.76</v>
      </c>
      <c r="I34" s="7" t="s">
        <v>40</v>
      </c>
      <c r="J34" s="8">
        <f t="shared" si="5"/>
        <v>1760</v>
      </c>
    </row>
    <row r="35" spans="1:10" x14ac:dyDescent="0.35">
      <c r="A35" s="7">
        <v>24</v>
      </c>
      <c r="B35" s="6" t="s">
        <v>46</v>
      </c>
      <c r="C35" s="7" t="s">
        <v>39</v>
      </c>
      <c r="D35" s="8">
        <v>0</v>
      </c>
      <c r="E35" s="7" t="s">
        <v>40</v>
      </c>
      <c r="F35" s="8">
        <f t="shared" si="4"/>
        <v>0</v>
      </c>
      <c r="G35" s="7" t="s">
        <v>39</v>
      </c>
      <c r="H35" s="8">
        <v>0</v>
      </c>
      <c r="I35" s="7" t="s">
        <v>40</v>
      </c>
      <c r="J35" s="8">
        <f t="shared" si="5"/>
        <v>0</v>
      </c>
    </row>
    <row r="36" spans="1:10" x14ac:dyDescent="0.35">
      <c r="A36" s="7">
        <v>25</v>
      </c>
      <c r="B36" s="6" t="s">
        <v>47</v>
      </c>
      <c r="C36" s="7" t="s">
        <v>37</v>
      </c>
      <c r="D36" s="8">
        <v>18.77</v>
      </c>
      <c r="E36" s="7" t="s">
        <v>37</v>
      </c>
      <c r="F36" s="8" cm="1">
        <f t="array" ref="F36">_xlfn.IFS(C36="MPa (a)", D36*10,C36="MPa (g)",D36*10+$F$6,C36="bar(a)",D36, C36="bar (g)",D36+$F$6)</f>
        <v>187.7</v>
      </c>
      <c r="G36" s="7" t="s">
        <v>37</v>
      </c>
      <c r="H36" s="8">
        <v>18.77</v>
      </c>
      <c r="I36" s="7" t="s">
        <v>37</v>
      </c>
      <c r="J36" s="8" cm="1">
        <f t="array" ref="J36">_xlfn.IFS(G36="MPa (a)", H36*10,G36="MPa (g)",H36*10+J12,G36="bar(a)",H36, G36="bar (g)",H36+J12)</f>
        <v>187.7</v>
      </c>
    </row>
    <row r="37" spans="1:10" x14ac:dyDescent="0.35">
      <c r="A37" s="7">
        <v>26</v>
      </c>
      <c r="B37" s="6" t="s">
        <v>48</v>
      </c>
      <c r="C37" s="7" t="s">
        <v>13</v>
      </c>
      <c r="D37" s="8">
        <v>169.99</v>
      </c>
      <c r="E37" s="7" t="s">
        <v>13</v>
      </c>
      <c r="F37" s="8">
        <f>D37</f>
        <v>169.99</v>
      </c>
      <c r="G37" s="7" t="s">
        <v>13</v>
      </c>
      <c r="H37" s="8">
        <v>169.99</v>
      </c>
      <c r="I37" s="7" t="s">
        <v>13</v>
      </c>
      <c r="J37" s="8">
        <f>H37</f>
        <v>169.99</v>
      </c>
    </row>
    <row r="38" spans="1:10" x14ac:dyDescent="0.35">
      <c r="A38" s="7">
        <v>27</v>
      </c>
      <c r="B38" s="6" t="s">
        <v>49</v>
      </c>
      <c r="C38" s="7" t="s">
        <v>37</v>
      </c>
      <c r="D38" s="8">
        <v>11.8</v>
      </c>
      <c r="E38" s="7" t="s">
        <v>37</v>
      </c>
      <c r="F38" s="8" cm="1">
        <f t="array" ref="F38">_xlfn.IFS(C38="MPa (a)", D38*10,C38="MPa (g)",D38*10+$F$6,C38="bar(a)",D38, C38="bar (g)",D38+$F$6)</f>
        <v>118</v>
      </c>
      <c r="G38" s="7" t="s">
        <v>37</v>
      </c>
      <c r="H38" s="8">
        <v>11.8</v>
      </c>
      <c r="I38" s="7" t="s">
        <v>37</v>
      </c>
      <c r="J38" s="8" cm="1">
        <f t="array" ref="J38">_xlfn.IFS(G38="MPa (a)", H38*10,G38="MPa (g)",H38*10+J14,G38="bar(a)",H38, G38="bar (g)",H38+J14)</f>
        <v>118</v>
      </c>
    </row>
    <row r="39" spans="1:10" x14ac:dyDescent="0.35">
      <c r="A39" s="7">
        <v>28</v>
      </c>
      <c r="B39" s="6" t="s">
        <v>50</v>
      </c>
      <c r="C39" s="7" t="s">
        <v>13</v>
      </c>
      <c r="D39" s="8">
        <v>160.9</v>
      </c>
      <c r="E39" s="7" t="s">
        <v>13</v>
      </c>
      <c r="F39" s="8">
        <f>D39</f>
        <v>160.9</v>
      </c>
      <c r="G39" s="7" t="s">
        <v>13</v>
      </c>
      <c r="H39" s="8">
        <v>160.9</v>
      </c>
      <c r="I39" s="7" t="s">
        <v>13</v>
      </c>
      <c r="J39" s="8">
        <f>H39</f>
        <v>160.9</v>
      </c>
    </row>
    <row r="40" spans="1:10" x14ac:dyDescent="0.35">
      <c r="A40" s="7"/>
      <c r="B40" s="5" t="s">
        <v>51</v>
      </c>
      <c r="C40" s="7"/>
      <c r="D40" s="8"/>
      <c r="E40" s="7"/>
      <c r="F40" s="8"/>
      <c r="G40" s="7"/>
      <c r="H40" s="8"/>
      <c r="I40" s="7"/>
      <c r="J40" s="8"/>
    </row>
    <row r="41" spans="1:10" x14ac:dyDescent="0.35">
      <c r="A41" s="7">
        <v>29</v>
      </c>
      <c r="B41" s="6" t="s">
        <v>52</v>
      </c>
      <c r="C41" s="7" t="s">
        <v>53</v>
      </c>
      <c r="D41" s="8">
        <v>29.22</v>
      </c>
      <c r="E41" s="7" t="s">
        <v>53</v>
      </c>
      <c r="F41" s="8">
        <f>D41</f>
        <v>29.22</v>
      </c>
      <c r="G41" s="7" t="s">
        <v>53</v>
      </c>
      <c r="H41" s="8">
        <v>29.22</v>
      </c>
      <c r="I41" s="7" t="s">
        <v>53</v>
      </c>
      <c r="J41" s="8">
        <f>H41</f>
        <v>29.22</v>
      </c>
    </row>
    <row r="42" spans="1:10" x14ac:dyDescent="0.35">
      <c r="A42" s="7">
        <v>30</v>
      </c>
      <c r="B42" s="6" t="s">
        <v>54</v>
      </c>
      <c r="C42" s="7" t="s">
        <v>53</v>
      </c>
      <c r="D42" s="8">
        <v>30.18</v>
      </c>
      <c r="E42" s="7" t="s">
        <v>53</v>
      </c>
      <c r="F42" s="8">
        <f t="shared" ref="F42:F46" si="6">D42</f>
        <v>30.18</v>
      </c>
      <c r="G42" s="7" t="s">
        <v>53</v>
      </c>
      <c r="H42" s="8">
        <v>30.18</v>
      </c>
      <c r="I42" s="7" t="s">
        <v>53</v>
      </c>
      <c r="J42" s="8">
        <f t="shared" ref="J42:J46" si="7">H42</f>
        <v>30.18</v>
      </c>
    </row>
    <row r="43" spans="1:10" x14ac:dyDescent="0.35">
      <c r="A43" s="7">
        <v>31</v>
      </c>
      <c r="B43" s="6" t="s">
        <v>55</v>
      </c>
      <c r="C43" s="7" t="s">
        <v>53</v>
      </c>
      <c r="D43" s="8">
        <v>-0.04</v>
      </c>
      <c r="E43" s="7" t="s">
        <v>53</v>
      </c>
      <c r="F43" s="8">
        <f t="shared" si="6"/>
        <v>-0.04</v>
      </c>
      <c r="G43" s="7" t="s">
        <v>53</v>
      </c>
      <c r="H43" s="8">
        <v>-0.04</v>
      </c>
      <c r="I43" s="7" t="s">
        <v>53</v>
      </c>
      <c r="J43" s="8">
        <f t="shared" si="7"/>
        <v>-0.04</v>
      </c>
    </row>
    <row r="44" spans="1:10" x14ac:dyDescent="0.35">
      <c r="A44" s="7">
        <v>32</v>
      </c>
      <c r="B44" s="6" t="s">
        <v>56</v>
      </c>
      <c r="C44" s="7" t="s">
        <v>53</v>
      </c>
      <c r="D44" s="8">
        <v>32.93</v>
      </c>
      <c r="E44" s="7" t="s">
        <v>53</v>
      </c>
      <c r="F44" s="8">
        <f t="shared" si="6"/>
        <v>32.93</v>
      </c>
      <c r="G44" s="7" t="s">
        <v>53</v>
      </c>
      <c r="H44" s="8">
        <v>32.93</v>
      </c>
      <c r="I44" s="7" t="s">
        <v>53</v>
      </c>
      <c r="J44" s="8">
        <f t="shared" si="7"/>
        <v>32.93</v>
      </c>
    </row>
    <row r="45" spans="1:10" x14ac:dyDescent="0.35">
      <c r="A45" s="7">
        <v>33</v>
      </c>
      <c r="B45" s="6" t="s">
        <v>57</v>
      </c>
      <c r="C45" s="7" t="s">
        <v>53</v>
      </c>
      <c r="D45" s="8">
        <v>32.33</v>
      </c>
      <c r="E45" s="7" t="s">
        <v>53</v>
      </c>
      <c r="F45" s="8">
        <f t="shared" si="6"/>
        <v>32.33</v>
      </c>
      <c r="G45" s="7" t="s">
        <v>53</v>
      </c>
      <c r="H45" s="8">
        <v>32.33</v>
      </c>
      <c r="I45" s="7" t="s">
        <v>53</v>
      </c>
      <c r="J45" s="8">
        <f t="shared" si="7"/>
        <v>32.33</v>
      </c>
    </row>
    <row r="46" spans="1:10" x14ac:dyDescent="0.35">
      <c r="A46" s="7">
        <v>34</v>
      </c>
      <c r="B46" s="6" t="s">
        <v>58</v>
      </c>
      <c r="C46" s="7" t="s">
        <v>53</v>
      </c>
      <c r="D46" s="8">
        <v>-0.1</v>
      </c>
      <c r="E46" s="7" t="s">
        <v>53</v>
      </c>
      <c r="F46" s="8">
        <f t="shared" si="6"/>
        <v>-0.1</v>
      </c>
      <c r="G46" s="7" t="s">
        <v>53</v>
      </c>
      <c r="H46" s="8">
        <v>-0.1</v>
      </c>
      <c r="I46" s="7" t="s">
        <v>53</v>
      </c>
      <c r="J46" s="8">
        <f t="shared" si="7"/>
        <v>-0.1</v>
      </c>
    </row>
    <row r="47" spans="1:10" x14ac:dyDescent="0.35">
      <c r="A47" s="7">
        <v>35</v>
      </c>
      <c r="B47" s="6" t="s">
        <v>59</v>
      </c>
      <c r="C47" s="7" t="s">
        <v>39</v>
      </c>
      <c r="D47" s="8">
        <v>25.14</v>
      </c>
      <c r="E47" s="7" t="s">
        <v>40</v>
      </c>
      <c r="F47" s="8">
        <f t="shared" ref="F47:F53" si="8">D47*1000</f>
        <v>25140</v>
      </c>
      <c r="G47" s="7" t="s">
        <v>39</v>
      </c>
      <c r="H47" s="8">
        <v>25.14</v>
      </c>
      <c r="I47" s="7" t="s">
        <v>40</v>
      </c>
      <c r="J47" s="8">
        <f t="shared" ref="J47:J53" si="9">H47*1000</f>
        <v>25140</v>
      </c>
    </row>
    <row r="48" spans="1:10" x14ac:dyDescent="0.35">
      <c r="A48" s="7">
        <v>36</v>
      </c>
      <c r="B48" s="6" t="s">
        <v>60</v>
      </c>
      <c r="C48" s="7" t="s">
        <v>39</v>
      </c>
      <c r="D48" s="8">
        <v>24.9</v>
      </c>
      <c r="E48" s="7" t="s">
        <v>40</v>
      </c>
      <c r="F48" s="8">
        <f t="shared" si="8"/>
        <v>24900</v>
      </c>
      <c r="G48" s="7" t="s">
        <v>39</v>
      </c>
      <c r="H48" s="8">
        <v>24.9</v>
      </c>
      <c r="I48" s="7" t="s">
        <v>40</v>
      </c>
      <c r="J48" s="8">
        <f t="shared" si="9"/>
        <v>24900</v>
      </c>
    </row>
    <row r="49" spans="1:10" x14ac:dyDescent="0.35">
      <c r="A49" s="7">
        <v>37</v>
      </c>
      <c r="B49" s="6" t="s">
        <v>61</v>
      </c>
      <c r="C49" s="7" t="s">
        <v>39</v>
      </c>
      <c r="D49" s="8">
        <v>0.74</v>
      </c>
      <c r="E49" s="7" t="s">
        <v>40</v>
      </c>
      <c r="F49" s="8">
        <f t="shared" si="8"/>
        <v>740</v>
      </c>
      <c r="G49" s="7" t="s">
        <v>39</v>
      </c>
      <c r="H49" s="8">
        <v>0.74</v>
      </c>
      <c r="I49" s="7" t="s">
        <v>40</v>
      </c>
      <c r="J49" s="8">
        <f t="shared" si="9"/>
        <v>740</v>
      </c>
    </row>
    <row r="50" spans="1:10" x14ac:dyDescent="0.35">
      <c r="A50" s="7">
        <v>38</v>
      </c>
      <c r="B50" s="6" t="s">
        <v>62</v>
      </c>
      <c r="C50" s="7" t="s">
        <v>39</v>
      </c>
      <c r="D50" s="8">
        <v>30.95</v>
      </c>
      <c r="E50" s="7" t="s">
        <v>40</v>
      </c>
      <c r="F50" s="8">
        <f t="shared" si="8"/>
        <v>30950</v>
      </c>
      <c r="G50" s="7" t="s">
        <v>39</v>
      </c>
      <c r="H50" s="8">
        <v>30.95</v>
      </c>
      <c r="I50" s="7" t="s">
        <v>40</v>
      </c>
      <c r="J50" s="8">
        <f t="shared" si="9"/>
        <v>30950</v>
      </c>
    </row>
    <row r="51" spans="1:10" x14ac:dyDescent="0.35">
      <c r="A51" s="7">
        <v>39</v>
      </c>
      <c r="B51" s="6" t="s">
        <v>63</v>
      </c>
      <c r="C51" s="7" t="s">
        <v>39</v>
      </c>
      <c r="D51" s="8">
        <v>31.24</v>
      </c>
      <c r="E51" s="7" t="s">
        <v>40</v>
      </c>
      <c r="F51" s="8">
        <f t="shared" si="8"/>
        <v>31240</v>
      </c>
      <c r="G51" s="7" t="s">
        <v>39</v>
      </c>
      <c r="H51" s="8">
        <v>31.24</v>
      </c>
      <c r="I51" s="7" t="s">
        <v>40</v>
      </c>
      <c r="J51" s="8">
        <f t="shared" si="9"/>
        <v>31240</v>
      </c>
    </row>
    <row r="52" spans="1:10" x14ac:dyDescent="0.35">
      <c r="A52" s="7">
        <v>40</v>
      </c>
      <c r="B52" s="6" t="s">
        <v>64</v>
      </c>
      <c r="C52" s="7" t="s">
        <v>39</v>
      </c>
      <c r="D52" s="8">
        <v>0.1</v>
      </c>
      <c r="E52" s="7" t="s">
        <v>40</v>
      </c>
      <c r="F52" s="8">
        <f t="shared" si="8"/>
        <v>100</v>
      </c>
      <c r="G52" s="7" t="s">
        <v>39</v>
      </c>
      <c r="H52" s="8">
        <v>0.1</v>
      </c>
      <c r="I52" s="7" t="s">
        <v>40</v>
      </c>
      <c r="J52" s="8">
        <f t="shared" si="9"/>
        <v>100</v>
      </c>
    </row>
    <row r="53" spans="1:10" x14ac:dyDescent="0.35">
      <c r="A53" s="7">
        <v>41</v>
      </c>
      <c r="B53" s="6" t="s">
        <v>65</v>
      </c>
      <c r="C53" s="7" t="s">
        <v>39</v>
      </c>
      <c r="D53" s="8">
        <v>112.3</v>
      </c>
      <c r="E53" s="7" t="s">
        <v>40</v>
      </c>
      <c r="F53" s="8">
        <f t="shared" si="8"/>
        <v>112300</v>
      </c>
      <c r="G53" s="7" t="s">
        <v>39</v>
      </c>
      <c r="H53" s="8">
        <v>112.3</v>
      </c>
      <c r="I53" s="7" t="s">
        <v>40</v>
      </c>
      <c r="J53" s="8">
        <f t="shared" si="9"/>
        <v>112300</v>
      </c>
    </row>
    <row r="54" spans="1:10" x14ac:dyDescent="0.35">
      <c r="A54" s="7">
        <v>42</v>
      </c>
      <c r="B54" s="6" t="s">
        <v>66</v>
      </c>
      <c r="C54" s="7" t="s">
        <v>13</v>
      </c>
      <c r="D54" s="8">
        <v>80.02</v>
      </c>
      <c r="E54" s="7" t="s">
        <v>13</v>
      </c>
      <c r="F54" s="8">
        <f t="shared" ref="F54:F76" si="10">D54</f>
        <v>80.02</v>
      </c>
      <c r="G54" s="7" t="s">
        <v>13</v>
      </c>
      <c r="H54" s="8">
        <v>80.02</v>
      </c>
      <c r="I54" s="7" t="s">
        <v>13</v>
      </c>
      <c r="J54" s="8">
        <f t="shared" ref="J54:J76" si="11">H54</f>
        <v>80.02</v>
      </c>
    </row>
    <row r="55" spans="1:10" x14ac:dyDescent="0.35">
      <c r="A55" s="7">
        <v>43</v>
      </c>
      <c r="B55" s="6" t="s">
        <v>67</v>
      </c>
      <c r="C55" s="7" t="s">
        <v>13</v>
      </c>
      <c r="D55" s="8">
        <v>76.11</v>
      </c>
      <c r="E55" s="7" t="s">
        <v>13</v>
      </c>
      <c r="F55" s="8">
        <f t="shared" si="10"/>
        <v>76.11</v>
      </c>
      <c r="G55" s="7" t="s">
        <v>13</v>
      </c>
      <c r="H55" s="8">
        <v>76.11</v>
      </c>
      <c r="I55" s="7" t="s">
        <v>13</v>
      </c>
      <c r="J55" s="8">
        <f t="shared" si="11"/>
        <v>76.11</v>
      </c>
    </row>
    <row r="56" spans="1:10" x14ac:dyDescent="0.35">
      <c r="A56" s="7">
        <v>44</v>
      </c>
      <c r="B56" s="6" t="s">
        <v>68</v>
      </c>
      <c r="C56" s="7" t="s">
        <v>13</v>
      </c>
      <c r="D56" s="8">
        <v>47.83</v>
      </c>
      <c r="E56" s="7" t="s">
        <v>13</v>
      </c>
      <c r="F56" s="8">
        <f t="shared" si="10"/>
        <v>47.83</v>
      </c>
      <c r="G56" s="7" t="s">
        <v>13</v>
      </c>
      <c r="H56" s="8">
        <v>47.83</v>
      </c>
      <c r="I56" s="7" t="s">
        <v>13</v>
      </c>
      <c r="J56" s="8">
        <f t="shared" si="11"/>
        <v>47.83</v>
      </c>
    </row>
    <row r="57" spans="1:10" x14ac:dyDescent="0.35">
      <c r="A57" s="7">
        <v>45</v>
      </c>
      <c r="B57" s="6" t="s">
        <v>69</v>
      </c>
      <c r="C57" s="7" t="s">
        <v>13</v>
      </c>
      <c r="D57" s="8">
        <v>74.88</v>
      </c>
      <c r="E57" s="7" t="s">
        <v>13</v>
      </c>
      <c r="F57" s="8">
        <f t="shared" si="10"/>
        <v>74.88</v>
      </c>
      <c r="G57" s="7" t="s">
        <v>13</v>
      </c>
      <c r="H57" s="8">
        <v>74.88</v>
      </c>
      <c r="I57" s="7" t="s">
        <v>13</v>
      </c>
      <c r="J57" s="8">
        <f t="shared" si="11"/>
        <v>74.88</v>
      </c>
    </row>
    <row r="58" spans="1:10" x14ac:dyDescent="0.35">
      <c r="A58" s="7">
        <v>46</v>
      </c>
      <c r="B58" s="6" t="s">
        <v>70</v>
      </c>
      <c r="C58" s="7" t="s">
        <v>13</v>
      </c>
      <c r="D58" s="8">
        <v>73.05</v>
      </c>
      <c r="E58" s="7" t="s">
        <v>13</v>
      </c>
      <c r="F58" s="8">
        <f t="shared" si="10"/>
        <v>73.05</v>
      </c>
      <c r="G58" s="7" t="s">
        <v>13</v>
      </c>
      <c r="H58" s="8">
        <v>73.05</v>
      </c>
      <c r="I58" s="7" t="s">
        <v>13</v>
      </c>
      <c r="J58" s="8">
        <f t="shared" si="11"/>
        <v>73.05</v>
      </c>
    </row>
    <row r="59" spans="1:10" x14ac:dyDescent="0.35">
      <c r="A59" s="7">
        <v>47</v>
      </c>
      <c r="B59" s="6" t="s">
        <v>71</v>
      </c>
      <c r="C59" s="7" t="s">
        <v>13</v>
      </c>
      <c r="D59" s="8">
        <v>48.5</v>
      </c>
      <c r="E59" s="7" t="s">
        <v>13</v>
      </c>
      <c r="F59" s="8">
        <f t="shared" si="10"/>
        <v>48.5</v>
      </c>
      <c r="G59" s="7" t="s">
        <v>13</v>
      </c>
      <c r="H59" s="8">
        <v>48.5</v>
      </c>
      <c r="I59" s="7" t="s">
        <v>13</v>
      </c>
      <c r="J59" s="8">
        <f t="shared" si="11"/>
        <v>48.5</v>
      </c>
    </row>
    <row r="60" spans="1:10" x14ac:dyDescent="0.35">
      <c r="A60" s="7"/>
      <c r="B60" s="5" t="s">
        <v>72</v>
      </c>
      <c r="C60" s="7"/>
      <c r="D60" s="8"/>
      <c r="E60" s="7"/>
      <c r="F60" s="8"/>
      <c r="G60" s="7"/>
      <c r="H60" s="8"/>
      <c r="I60" s="7"/>
      <c r="J60" s="8"/>
    </row>
    <row r="61" spans="1:10" x14ac:dyDescent="0.35">
      <c r="A61" s="7">
        <v>48</v>
      </c>
      <c r="B61" s="6" t="s">
        <v>73</v>
      </c>
      <c r="C61" s="7" t="s">
        <v>13</v>
      </c>
      <c r="D61" s="8">
        <v>340.05</v>
      </c>
      <c r="E61" s="7" t="s">
        <v>13</v>
      </c>
      <c r="F61" s="8">
        <f t="shared" si="10"/>
        <v>340.05</v>
      </c>
      <c r="G61" s="7" t="s">
        <v>13</v>
      </c>
      <c r="H61" s="8">
        <v>340.05</v>
      </c>
      <c r="I61" s="7" t="s">
        <v>13</v>
      </c>
      <c r="J61" s="8">
        <f t="shared" si="11"/>
        <v>340.05</v>
      </c>
    </row>
    <row r="62" spans="1:10" x14ac:dyDescent="0.35">
      <c r="A62" s="7">
        <v>49</v>
      </c>
      <c r="B62" s="6" t="s">
        <v>74</v>
      </c>
      <c r="C62" s="7" t="s">
        <v>13</v>
      </c>
      <c r="D62" s="8">
        <v>337</v>
      </c>
      <c r="E62" s="7" t="s">
        <v>13</v>
      </c>
      <c r="F62" s="8">
        <f t="shared" si="10"/>
        <v>337</v>
      </c>
      <c r="G62" s="7" t="s">
        <v>13</v>
      </c>
      <c r="H62" s="8">
        <v>337</v>
      </c>
      <c r="I62" s="7" t="s">
        <v>13</v>
      </c>
      <c r="J62" s="8">
        <f t="shared" si="11"/>
        <v>337</v>
      </c>
    </row>
    <row r="63" spans="1:10" x14ac:dyDescent="0.35">
      <c r="A63" s="7">
        <v>50</v>
      </c>
      <c r="B63" s="6" t="s">
        <v>75</v>
      </c>
      <c r="C63" s="7" t="s">
        <v>13</v>
      </c>
      <c r="D63" s="8">
        <v>133.94999999999999</v>
      </c>
      <c r="E63" s="7" t="s">
        <v>13</v>
      </c>
      <c r="F63" s="8">
        <f t="shared" si="10"/>
        <v>133.94999999999999</v>
      </c>
      <c r="G63" s="7" t="s">
        <v>13</v>
      </c>
      <c r="H63" s="8">
        <v>133.94999999999999</v>
      </c>
      <c r="I63" s="7" t="s">
        <v>13</v>
      </c>
      <c r="J63" s="8">
        <f t="shared" si="11"/>
        <v>133.94999999999999</v>
      </c>
    </row>
    <row r="64" spans="1:10" x14ac:dyDescent="0.35">
      <c r="A64" s="7">
        <v>51</v>
      </c>
      <c r="B64" s="6" t="s">
        <v>76</v>
      </c>
      <c r="C64" s="7" t="s">
        <v>13</v>
      </c>
      <c r="D64" s="8">
        <v>143.94999999999999</v>
      </c>
      <c r="E64" s="7" t="s">
        <v>13</v>
      </c>
      <c r="F64" s="8">
        <f t="shared" si="10"/>
        <v>143.94999999999999</v>
      </c>
      <c r="G64" s="7" t="s">
        <v>13</v>
      </c>
      <c r="H64" s="8">
        <v>143.94999999999999</v>
      </c>
      <c r="I64" s="7" t="s">
        <v>13</v>
      </c>
      <c r="J64" s="8">
        <f t="shared" si="11"/>
        <v>143.94999999999999</v>
      </c>
    </row>
    <row r="65" spans="1:10" x14ac:dyDescent="0.35">
      <c r="A65" s="7">
        <v>52</v>
      </c>
      <c r="B65" s="6" t="s">
        <v>77</v>
      </c>
      <c r="C65" s="7" t="s">
        <v>13</v>
      </c>
      <c r="D65" s="8">
        <v>339.4</v>
      </c>
      <c r="E65" s="7" t="s">
        <v>13</v>
      </c>
      <c r="F65" s="8">
        <f t="shared" si="10"/>
        <v>339.4</v>
      </c>
      <c r="G65" s="7" t="s">
        <v>13</v>
      </c>
      <c r="H65" s="8">
        <v>339.4</v>
      </c>
      <c r="I65" s="7" t="s">
        <v>13</v>
      </c>
      <c r="J65" s="8">
        <f t="shared" si="11"/>
        <v>339.4</v>
      </c>
    </row>
    <row r="66" spans="1:10" x14ac:dyDescent="0.35">
      <c r="A66" s="7">
        <v>53</v>
      </c>
      <c r="B66" s="6" t="s">
        <v>78</v>
      </c>
      <c r="C66" s="7" t="s">
        <v>13</v>
      </c>
      <c r="D66" s="8">
        <v>340</v>
      </c>
      <c r="E66" s="7" t="s">
        <v>13</v>
      </c>
      <c r="F66" s="8">
        <f t="shared" si="10"/>
        <v>340</v>
      </c>
      <c r="G66" s="7" t="s">
        <v>13</v>
      </c>
      <c r="H66" s="8">
        <v>340</v>
      </c>
      <c r="I66" s="7" t="s">
        <v>13</v>
      </c>
      <c r="J66" s="8">
        <f t="shared" si="11"/>
        <v>340</v>
      </c>
    </row>
    <row r="67" spans="1:10" x14ac:dyDescent="0.35">
      <c r="A67" s="7">
        <v>54</v>
      </c>
      <c r="B67" s="6" t="s">
        <v>79</v>
      </c>
      <c r="C67" s="7" t="s">
        <v>13</v>
      </c>
      <c r="D67" s="8">
        <v>139.13999999999999</v>
      </c>
      <c r="E67" s="7" t="s">
        <v>13</v>
      </c>
      <c r="F67" s="8">
        <f t="shared" si="10"/>
        <v>139.13999999999999</v>
      </c>
      <c r="G67" s="7" t="s">
        <v>13</v>
      </c>
      <c r="H67" s="8">
        <v>139.13999999999999</v>
      </c>
      <c r="I67" s="7" t="s">
        <v>13</v>
      </c>
      <c r="J67" s="8">
        <f t="shared" si="11"/>
        <v>139.13999999999999</v>
      </c>
    </row>
    <row r="68" spans="1:10" x14ac:dyDescent="0.35">
      <c r="A68" s="7">
        <v>55</v>
      </c>
      <c r="B68" s="6" t="s">
        <v>80</v>
      </c>
      <c r="C68" s="7" t="s">
        <v>13</v>
      </c>
      <c r="D68" s="8">
        <v>144.66</v>
      </c>
      <c r="E68" s="7" t="s">
        <v>13</v>
      </c>
      <c r="F68" s="8">
        <f t="shared" si="10"/>
        <v>144.66</v>
      </c>
      <c r="G68" s="7" t="s">
        <v>13</v>
      </c>
      <c r="H68" s="8">
        <v>144.66</v>
      </c>
      <c r="I68" s="7" t="s">
        <v>13</v>
      </c>
      <c r="J68" s="8">
        <f t="shared" si="11"/>
        <v>144.66</v>
      </c>
    </row>
    <row r="69" spans="1:10" x14ac:dyDescent="0.35">
      <c r="A69" s="7">
        <v>56</v>
      </c>
      <c r="B69" s="6" t="s">
        <v>81</v>
      </c>
      <c r="C69" s="7" t="s">
        <v>13</v>
      </c>
      <c r="D69" s="8">
        <v>39.76</v>
      </c>
      <c r="E69" s="7" t="s">
        <v>13</v>
      </c>
      <c r="F69" s="8">
        <f t="shared" si="10"/>
        <v>39.76</v>
      </c>
      <c r="G69" s="7" t="s">
        <v>13</v>
      </c>
      <c r="H69" s="8">
        <v>39.76</v>
      </c>
      <c r="I69" s="7" t="s">
        <v>13</v>
      </c>
      <c r="J69" s="8">
        <f t="shared" si="11"/>
        <v>39.76</v>
      </c>
    </row>
    <row r="70" spans="1:10" x14ac:dyDescent="0.35">
      <c r="A70" s="7">
        <v>57</v>
      </c>
      <c r="B70" s="6" t="s">
        <v>82</v>
      </c>
      <c r="C70" s="7" t="s">
        <v>13</v>
      </c>
      <c r="D70" s="8">
        <v>39.44</v>
      </c>
      <c r="E70" s="7" t="s">
        <v>13</v>
      </c>
      <c r="F70" s="8">
        <f t="shared" si="10"/>
        <v>39.44</v>
      </c>
      <c r="G70" s="7" t="s">
        <v>13</v>
      </c>
      <c r="H70" s="8">
        <v>39.44</v>
      </c>
      <c r="I70" s="7" t="s">
        <v>13</v>
      </c>
      <c r="J70" s="8">
        <f t="shared" si="11"/>
        <v>39.44</v>
      </c>
    </row>
    <row r="71" spans="1:10" x14ac:dyDescent="0.35">
      <c r="A71" s="7">
        <v>58</v>
      </c>
      <c r="B71" s="6" t="s">
        <v>83</v>
      </c>
      <c r="C71" s="7" t="s">
        <v>13</v>
      </c>
      <c r="D71" s="8">
        <v>288.02</v>
      </c>
      <c r="E71" s="7" t="s">
        <v>13</v>
      </c>
      <c r="F71" s="8">
        <f t="shared" si="10"/>
        <v>288.02</v>
      </c>
      <c r="G71" s="7" t="s">
        <v>13</v>
      </c>
      <c r="H71" s="8">
        <v>288.02</v>
      </c>
      <c r="I71" s="7" t="s">
        <v>13</v>
      </c>
      <c r="J71" s="8">
        <f t="shared" si="11"/>
        <v>288.02</v>
      </c>
    </row>
    <row r="72" spans="1:10" x14ac:dyDescent="0.35">
      <c r="A72" s="7">
        <v>59</v>
      </c>
      <c r="B72" s="6" t="s">
        <v>84</v>
      </c>
      <c r="C72" s="7" t="s">
        <v>13</v>
      </c>
      <c r="D72" s="8">
        <v>287.82</v>
      </c>
      <c r="E72" s="7" t="s">
        <v>13</v>
      </c>
      <c r="F72" s="8">
        <f t="shared" si="10"/>
        <v>287.82</v>
      </c>
      <c r="G72" s="7" t="s">
        <v>13</v>
      </c>
      <c r="H72" s="8">
        <v>287.82</v>
      </c>
      <c r="I72" s="7" t="s">
        <v>13</v>
      </c>
      <c r="J72" s="8">
        <f t="shared" si="11"/>
        <v>287.82</v>
      </c>
    </row>
    <row r="73" spans="1:10" x14ac:dyDescent="0.35">
      <c r="A73" s="7">
        <v>60</v>
      </c>
      <c r="B73" s="6" t="s">
        <v>85</v>
      </c>
      <c r="C73" s="7" t="s">
        <v>13</v>
      </c>
      <c r="D73" s="8">
        <v>33.78</v>
      </c>
      <c r="E73" s="7" t="s">
        <v>13</v>
      </c>
      <c r="F73" s="8">
        <f t="shared" si="10"/>
        <v>33.78</v>
      </c>
      <c r="G73" s="7" t="s">
        <v>13</v>
      </c>
      <c r="H73" s="8">
        <v>33.78</v>
      </c>
      <c r="I73" s="7" t="s">
        <v>13</v>
      </c>
      <c r="J73" s="8">
        <f t="shared" si="11"/>
        <v>33.78</v>
      </c>
    </row>
    <row r="74" spans="1:10" x14ac:dyDescent="0.35">
      <c r="A74" s="7">
        <v>61</v>
      </c>
      <c r="B74" s="6" t="s">
        <v>86</v>
      </c>
      <c r="C74" s="7" t="s">
        <v>13</v>
      </c>
      <c r="D74" s="8">
        <v>33.299999999999997</v>
      </c>
      <c r="E74" s="7" t="s">
        <v>13</v>
      </c>
      <c r="F74" s="8">
        <f t="shared" si="10"/>
        <v>33.299999999999997</v>
      </c>
      <c r="G74" s="7" t="s">
        <v>13</v>
      </c>
      <c r="H74" s="8">
        <v>33.299999999999997</v>
      </c>
      <c r="I74" s="7" t="s">
        <v>13</v>
      </c>
      <c r="J74" s="8">
        <f t="shared" si="11"/>
        <v>33.299999999999997</v>
      </c>
    </row>
    <row r="75" spans="1:10" x14ac:dyDescent="0.35">
      <c r="A75" s="7">
        <v>62</v>
      </c>
      <c r="B75" s="6" t="s">
        <v>87</v>
      </c>
      <c r="C75" s="7" t="s">
        <v>13</v>
      </c>
      <c r="D75" s="8">
        <v>295.49</v>
      </c>
      <c r="E75" s="7" t="s">
        <v>13</v>
      </c>
      <c r="F75" s="8">
        <f t="shared" si="10"/>
        <v>295.49</v>
      </c>
      <c r="G75" s="7" t="s">
        <v>13</v>
      </c>
      <c r="H75" s="8">
        <v>295.49</v>
      </c>
      <c r="I75" s="7" t="s">
        <v>13</v>
      </c>
      <c r="J75" s="8">
        <f t="shared" si="11"/>
        <v>295.49</v>
      </c>
    </row>
    <row r="76" spans="1:10" x14ac:dyDescent="0.35">
      <c r="A76" s="7">
        <v>63</v>
      </c>
      <c r="B76" s="6" t="s">
        <v>88</v>
      </c>
      <c r="C76" s="7" t="s">
        <v>13</v>
      </c>
      <c r="D76" s="8">
        <v>295.95999999999998</v>
      </c>
      <c r="E76" s="7" t="s">
        <v>13</v>
      </c>
      <c r="F76" s="8">
        <f t="shared" si="10"/>
        <v>295.95999999999998</v>
      </c>
      <c r="G76" s="7" t="s">
        <v>13</v>
      </c>
      <c r="H76" s="8">
        <v>295.95999999999998</v>
      </c>
      <c r="I76" s="7" t="s">
        <v>13</v>
      </c>
      <c r="J76" s="8">
        <f t="shared" si="11"/>
        <v>295.95999999999998</v>
      </c>
    </row>
    <row r="77" spans="1:10" x14ac:dyDescent="0.35">
      <c r="A77" s="7">
        <v>64</v>
      </c>
      <c r="B77" s="6" t="s">
        <v>89</v>
      </c>
      <c r="C77" s="7" t="s">
        <v>90</v>
      </c>
      <c r="D77" s="8">
        <v>8.2899999999999991</v>
      </c>
      <c r="E77" s="7" t="s">
        <v>90</v>
      </c>
      <c r="F77" s="8" cm="1">
        <f t="array" ref="F77">_xlfn.IFS(C77="kPa (a)",D77,C77="kPa (g)",D77+$F$6/100)</f>
        <v>8.2899999999999991</v>
      </c>
      <c r="G77" s="7" t="s">
        <v>90</v>
      </c>
      <c r="H77" s="8">
        <v>8.2899999999999991</v>
      </c>
      <c r="I77" s="7" t="s">
        <v>90</v>
      </c>
      <c r="J77" s="8" cm="1">
        <f t="array" ref="J77">_xlfn.IFS(G77="kPa (a)",H77,G77="kPa (g)",H77+J4/100)</f>
        <v>8.2899999999999991</v>
      </c>
    </row>
    <row r="78" spans="1:10" x14ac:dyDescent="0.35">
      <c r="A78" s="7">
        <v>65</v>
      </c>
      <c r="B78" s="6" t="s">
        <v>91</v>
      </c>
      <c r="C78" s="7" t="s">
        <v>90</v>
      </c>
      <c r="D78" s="8">
        <v>8.19</v>
      </c>
      <c r="E78" s="7" t="s">
        <v>90</v>
      </c>
      <c r="F78" s="8" cm="1">
        <f t="array" ref="F78">_xlfn.IFS(C78="kPa (a)",D78,C78="kPa (g)",D78+$F$6/100)</f>
        <v>8.19</v>
      </c>
      <c r="G78" s="7" t="s">
        <v>90</v>
      </c>
      <c r="H78" s="8">
        <v>8.19</v>
      </c>
      <c r="I78" s="7" t="s">
        <v>90</v>
      </c>
      <c r="J78" s="8" cm="1">
        <f t="array" ref="J78">_xlfn.IFS(G78="kPa (a)",H78,G78="kPa (g)",H78+J5/100)</f>
        <v>8.19</v>
      </c>
    </row>
    <row r="79" spans="1:10" x14ac:dyDescent="0.35">
      <c r="A79" s="7">
        <v>66</v>
      </c>
      <c r="B79" s="6" t="s">
        <v>92</v>
      </c>
      <c r="C79" s="7" t="s">
        <v>90</v>
      </c>
      <c r="D79" s="8">
        <v>7.61</v>
      </c>
      <c r="E79" s="7" t="s">
        <v>90</v>
      </c>
      <c r="F79" s="8" cm="1">
        <f t="array" ref="F79">_xlfn.IFS(C79="kPa (a)",D79,C79="kPa (g)",D79+$F$6/100)</f>
        <v>7.61</v>
      </c>
      <c r="G79" s="7" t="s">
        <v>90</v>
      </c>
      <c r="H79" s="8">
        <v>7.61</v>
      </c>
      <c r="I79" s="7" t="s">
        <v>90</v>
      </c>
      <c r="J79" s="8" cm="1">
        <f t="array" ref="J79">_xlfn.IFS(G79="kPa (a)",H79,G79="kPa (g)",H79+J6/100)</f>
        <v>7.61</v>
      </c>
    </row>
    <row r="80" spans="1:10" x14ac:dyDescent="0.35">
      <c r="A80" s="7">
        <v>67</v>
      </c>
      <c r="B80" s="6" t="s">
        <v>93</v>
      </c>
      <c r="C80" s="7" t="s">
        <v>90</v>
      </c>
      <c r="D80" s="8">
        <v>7.97</v>
      </c>
      <c r="E80" s="7" t="s">
        <v>90</v>
      </c>
      <c r="F80" s="8" cm="1">
        <f t="array" ref="F80">_xlfn.IFS(C80="kPa (a)",D80,C80="kPa (g)",D80+$F$6/100)</f>
        <v>7.97</v>
      </c>
      <c r="G80" s="7" t="s">
        <v>90</v>
      </c>
      <c r="H80" s="8">
        <v>7.97</v>
      </c>
      <c r="I80" s="7" t="s">
        <v>90</v>
      </c>
      <c r="J80" s="8" cm="1">
        <f t="array" ref="J80">_xlfn.IFS(G80="kPa (a)",H80,G80="kPa (g)",H80+J7/100)</f>
        <v>7.97</v>
      </c>
    </row>
    <row r="81" spans="1:10" x14ac:dyDescent="0.35">
      <c r="A81" s="7">
        <v>68</v>
      </c>
      <c r="B81" s="6" t="s">
        <v>94</v>
      </c>
      <c r="C81" s="7" t="s">
        <v>90</v>
      </c>
      <c r="D81" s="8">
        <v>1.6</v>
      </c>
      <c r="E81" s="7" t="s">
        <v>90</v>
      </c>
      <c r="F81" s="8" cm="1">
        <f t="array" ref="F81">_xlfn.IFS(C81="kPa (a)",D81,C81="kPa (g)",D81+$F$6/100)</f>
        <v>1.6</v>
      </c>
      <c r="G81" s="7" t="s">
        <v>90</v>
      </c>
      <c r="H81" s="8">
        <v>1.6</v>
      </c>
      <c r="I81" s="7" t="s">
        <v>90</v>
      </c>
      <c r="J81" s="8" cm="1">
        <f t="array" ref="J81">_xlfn.IFS(G81="kPa (a)",H81,G81="kPa (g)",H81+J8/100)</f>
        <v>1.6</v>
      </c>
    </row>
    <row r="82" spans="1:10" x14ac:dyDescent="0.35">
      <c r="A82" s="7">
        <v>69</v>
      </c>
      <c r="B82" s="6" t="s">
        <v>95</v>
      </c>
      <c r="C82" s="7" t="s">
        <v>90</v>
      </c>
      <c r="D82" s="8">
        <v>1.62</v>
      </c>
      <c r="E82" s="7" t="s">
        <v>90</v>
      </c>
      <c r="F82" s="8" cm="1">
        <f t="array" ref="F82">_xlfn.IFS(C82="kPa (a)",D82,C82="kPa (g)",D82+$F$6/100)</f>
        <v>1.62</v>
      </c>
      <c r="G82" s="7" t="s">
        <v>90</v>
      </c>
      <c r="H82" s="8">
        <v>1.62</v>
      </c>
      <c r="I82" s="7" t="s">
        <v>90</v>
      </c>
      <c r="J82" s="8" cm="1">
        <f t="array" ref="J82">_xlfn.IFS(G82="kPa (a)",H82,G82="kPa (g)",H82+J9/100)</f>
        <v>1.62</v>
      </c>
    </row>
    <row r="83" spans="1:10" x14ac:dyDescent="0.35">
      <c r="A83" s="7">
        <v>70</v>
      </c>
      <c r="B83" s="6" t="s">
        <v>96</v>
      </c>
      <c r="C83" s="7" t="s">
        <v>90</v>
      </c>
      <c r="D83" s="8">
        <v>0.66</v>
      </c>
      <c r="E83" s="7" t="s">
        <v>90</v>
      </c>
      <c r="F83" s="8" cm="1">
        <f t="array" ref="F83">_xlfn.IFS(C83="kPa (a)",D83,C83="kPa (g)",D83+$F$6/100)</f>
        <v>0.66</v>
      </c>
      <c r="G83" s="7" t="s">
        <v>90</v>
      </c>
      <c r="H83" s="8">
        <v>0.66</v>
      </c>
      <c r="I83" s="7" t="s">
        <v>90</v>
      </c>
      <c r="J83" s="8" cm="1">
        <f t="array" ref="J83">_xlfn.IFS(G83="kPa (a)",H83,G83="kPa (g)",H83+J10/100)</f>
        <v>0.66</v>
      </c>
    </row>
    <row r="84" spans="1:10" x14ac:dyDescent="0.35">
      <c r="A84" s="7">
        <v>71</v>
      </c>
      <c r="B84" s="6" t="s">
        <v>97</v>
      </c>
      <c r="C84" s="7" t="s">
        <v>90</v>
      </c>
      <c r="D84" s="8">
        <v>0.77</v>
      </c>
      <c r="E84" s="7" t="s">
        <v>90</v>
      </c>
      <c r="F84" s="8" cm="1">
        <f t="array" ref="F84">_xlfn.IFS(C84="kPa (a)",D84,C84="kPa (g)",D84+$F$6/100)</f>
        <v>0.77</v>
      </c>
      <c r="G84" s="7" t="s">
        <v>90</v>
      </c>
      <c r="H84" s="8">
        <v>0.77</v>
      </c>
      <c r="I84" s="7" t="s">
        <v>90</v>
      </c>
      <c r="J84" s="8" cm="1">
        <f t="array" ref="J84">_xlfn.IFS(G84="kPa (a)",H84,G84="kPa (g)",H84+J11/100)</f>
        <v>0.77</v>
      </c>
    </row>
    <row r="85" spans="1:10" x14ac:dyDescent="0.35">
      <c r="A85" s="7">
        <v>72</v>
      </c>
      <c r="B85" s="6" t="s">
        <v>98</v>
      </c>
      <c r="C85" s="7" t="s">
        <v>90</v>
      </c>
      <c r="D85" s="8">
        <v>-1.07</v>
      </c>
      <c r="E85" s="7" t="s">
        <v>90</v>
      </c>
      <c r="F85" s="8" cm="1">
        <f t="array" ref="F85">_xlfn.IFS(C85="kPa (a)",D85,C85="kPa (g)",D85+$F$6/100)</f>
        <v>-1.07</v>
      </c>
      <c r="G85" s="7" t="s">
        <v>90</v>
      </c>
      <c r="H85" s="8">
        <v>-1.07</v>
      </c>
      <c r="I85" s="7" t="s">
        <v>90</v>
      </c>
      <c r="J85" s="8" cm="1">
        <f t="array" ref="J85">_xlfn.IFS(G85="kPa (a)",H85,G85="kPa (g)",H85+J12/100)</f>
        <v>-1.07</v>
      </c>
    </row>
    <row r="86" spans="1:10" x14ac:dyDescent="0.35">
      <c r="A86" s="7">
        <v>73</v>
      </c>
      <c r="B86" s="6" t="s">
        <v>99</v>
      </c>
      <c r="C86" s="7" t="s">
        <v>90</v>
      </c>
      <c r="D86" s="8">
        <v>-1.03</v>
      </c>
      <c r="E86" s="7" t="s">
        <v>90</v>
      </c>
      <c r="F86" s="8" cm="1">
        <f t="array" ref="F86">_xlfn.IFS(C86="kPa (a)",D86,C86="kPa (g)",D86+$F$6/100)</f>
        <v>-1.03</v>
      </c>
      <c r="G86" s="7" t="s">
        <v>90</v>
      </c>
      <c r="H86" s="8">
        <v>-1.03</v>
      </c>
      <c r="I86" s="7" t="s">
        <v>90</v>
      </c>
      <c r="J86" s="8" cm="1">
        <f t="array" ref="J86">_xlfn.IFS(G86="kPa (a)",H86,G86="kPa (g)",H86+J13/100)</f>
        <v>-1.03</v>
      </c>
    </row>
    <row r="87" spans="1:10" x14ac:dyDescent="0.35">
      <c r="A87" s="7">
        <v>74</v>
      </c>
      <c r="B87" s="6" t="s">
        <v>100</v>
      </c>
      <c r="C87" s="7" t="s">
        <v>90</v>
      </c>
      <c r="D87" s="8">
        <v>-1.96</v>
      </c>
      <c r="E87" s="7" t="s">
        <v>90</v>
      </c>
      <c r="F87" s="8" cm="1">
        <f t="array" ref="F87">_xlfn.IFS(C87="kPa (a)",D87,C87="kPa (g)",D87+$F$6/100)</f>
        <v>-1.96</v>
      </c>
      <c r="G87" s="7" t="s">
        <v>90</v>
      </c>
      <c r="H87" s="8">
        <v>-1.96</v>
      </c>
      <c r="I87" s="7" t="s">
        <v>90</v>
      </c>
      <c r="J87" s="8" cm="1">
        <f t="array" ref="J87">_xlfn.IFS(G87="kPa (a)",H87,G87="kPa (g)",H87+J14/100)</f>
        <v>-1.96</v>
      </c>
    </row>
    <row r="88" spans="1:10" x14ac:dyDescent="0.35">
      <c r="A88" s="7">
        <v>75</v>
      </c>
      <c r="B88" s="6" t="s">
        <v>101</v>
      </c>
      <c r="C88" s="7" t="s">
        <v>90</v>
      </c>
      <c r="D88" s="8">
        <v>-1.95</v>
      </c>
      <c r="E88" s="7" t="s">
        <v>90</v>
      </c>
      <c r="F88" s="8" cm="1">
        <f t="array" ref="F88">_xlfn.IFS(C88="kPa (a)",D88,C88="kPa (g)",D88+$F$6/100)</f>
        <v>-1.95</v>
      </c>
      <c r="G88" s="7" t="s">
        <v>90</v>
      </c>
      <c r="H88" s="8">
        <v>-1.95</v>
      </c>
      <c r="I88" s="7" t="s">
        <v>90</v>
      </c>
      <c r="J88" s="8" cm="1">
        <f t="array" ref="J88">_xlfn.IFS(G88="kPa (a)",H88,G88="kPa (g)",H88+J15/100)</f>
        <v>-1.95</v>
      </c>
    </row>
    <row r="89" spans="1:10" x14ac:dyDescent="0.35">
      <c r="A89" s="7">
        <v>76</v>
      </c>
      <c r="B89" s="6" t="s">
        <v>102</v>
      </c>
      <c r="C89" s="7" t="s">
        <v>15</v>
      </c>
      <c r="D89" s="8">
        <v>5.0599999999999996</v>
      </c>
      <c r="E89" s="7" t="s">
        <v>15</v>
      </c>
      <c r="F89" s="8">
        <f>D89</f>
        <v>5.0599999999999996</v>
      </c>
      <c r="G89" s="7" t="s">
        <v>15</v>
      </c>
      <c r="H89" s="8">
        <v>5.0599999999999996</v>
      </c>
      <c r="I89" s="7" t="s">
        <v>15</v>
      </c>
      <c r="J89" s="8">
        <f>H89</f>
        <v>5.0599999999999996</v>
      </c>
    </row>
    <row r="90" spans="1:10" x14ac:dyDescent="0.35">
      <c r="A90" s="7">
        <v>77</v>
      </c>
      <c r="B90" s="6" t="s">
        <v>103</v>
      </c>
      <c r="C90" s="7" t="s">
        <v>15</v>
      </c>
      <c r="D90" s="8">
        <v>5.13</v>
      </c>
      <c r="E90" s="7" t="s">
        <v>15</v>
      </c>
      <c r="F90" s="8">
        <f t="shared" ref="F90:F92" si="12">D90</f>
        <v>5.13</v>
      </c>
      <c r="G90" s="7" t="s">
        <v>15</v>
      </c>
      <c r="H90" s="8">
        <v>5.13</v>
      </c>
      <c r="I90" s="7" t="s">
        <v>15</v>
      </c>
      <c r="J90" s="8">
        <f t="shared" ref="J90:J92" si="13">H90</f>
        <v>5.13</v>
      </c>
    </row>
    <row r="91" spans="1:10" x14ac:dyDescent="0.35">
      <c r="A91" s="7">
        <v>78</v>
      </c>
      <c r="B91" s="6" t="s">
        <v>104</v>
      </c>
      <c r="C91" s="7" t="s">
        <v>15</v>
      </c>
      <c r="D91" s="8">
        <v>5.15</v>
      </c>
      <c r="E91" s="7" t="s">
        <v>15</v>
      </c>
      <c r="F91" s="8">
        <f t="shared" si="12"/>
        <v>5.15</v>
      </c>
      <c r="G91" s="7" t="s">
        <v>15</v>
      </c>
      <c r="H91" s="8">
        <v>5.15</v>
      </c>
      <c r="I91" s="7" t="s">
        <v>15</v>
      </c>
      <c r="J91" s="8">
        <f t="shared" si="13"/>
        <v>5.15</v>
      </c>
    </row>
    <row r="92" spans="1:10" x14ac:dyDescent="0.35">
      <c r="A92" s="7">
        <v>79</v>
      </c>
      <c r="B92" s="6" t="s">
        <v>105</v>
      </c>
      <c r="C92" s="7" t="s">
        <v>15</v>
      </c>
      <c r="D92" s="8">
        <v>5.71</v>
      </c>
      <c r="E92" s="7" t="s">
        <v>15</v>
      </c>
      <c r="F92" s="8">
        <f t="shared" si="12"/>
        <v>5.71</v>
      </c>
      <c r="G92" s="7" t="s">
        <v>15</v>
      </c>
      <c r="H92" s="8">
        <v>5.71</v>
      </c>
      <c r="I92" s="7" t="s">
        <v>15</v>
      </c>
      <c r="J92" s="8">
        <f t="shared" si="13"/>
        <v>5.71</v>
      </c>
    </row>
    <row r="93" spans="1:10" x14ac:dyDescent="0.35">
      <c r="A93" s="7">
        <v>80</v>
      </c>
      <c r="B93" s="6" t="s">
        <v>106</v>
      </c>
      <c r="C93" s="7" t="s">
        <v>39</v>
      </c>
      <c r="D93" s="8">
        <v>790</v>
      </c>
      <c r="E93" s="7" t="s">
        <v>39</v>
      </c>
      <c r="F93" s="8">
        <f>D93</f>
        <v>790</v>
      </c>
      <c r="G93" s="7" t="s">
        <v>39</v>
      </c>
      <c r="H93" s="8">
        <v>790</v>
      </c>
      <c r="I93" s="7" t="s">
        <v>39</v>
      </c>
      <c r="J93" s="8">
        <f>H93</f>
        <v>790</v>
      </c>
    </row>
    <row r="94" spans="1:10" x14ac:dyDescent="0.35">
      <c r="A94" s="7">
        <v>82</v>
      </c>
      <c r="B94" s="6" t="s">
        <v>107</v>
      </c>
      <c r="C94" s="7" t="s">
        <v>39</v>
      </c>
      <c r="D94" s="8">
        <v>220.01</v>
      </c>
      <c r="E94" s="7" t="s">
        <v>39</v>
      </c>
      <c r="F94" s="8">
        <f t="shared" ref="F94" si="14">D94</f>
        <v>220.01</v>
      </c>
      <c r="G94" s="7" t="s">
        <v>39</v>
      </c>
      <c r="H94" s="8">
        <v>220.01</v>
      </c>
      <c r="I94" s="7" t="s">
        <v>39</v>
      </c>
      <c r="J94" s="8">
        <f t="shared" ref="J94" si="15">H94</f>
        <v>220.01</v>
      </c>
    </row>
    <row r="95" spans="1:10" x14ac:dyDescent="0.35">
      <c r="A95" s="7">
        <v>83</v>
      </c>
      <c r="B95" s="6" t="s">
        <v>108</v>
      </c>
      <c r="C95" s="7" t="s">
        <v>15</v>
      </c>
      <c r="D95" s="8">
        <v>73.989999999999995</v>
      </c>
      <c r="E95" s="7" t="s">
        <v>15</v>
      </c>
      <c r="F95" s="8">
        <f>D95</f>
        <v>73.989999999999995</v>
      </c>
      <c r="G95" s="7" t="s">
        <v>15</v>
      </c>
      <c r="H95" s="8">
        <v>73.989999999999995</v>
      </c>
      <c r="I95" s="7" t="s">
        <v>15</v>
      </c>
      <c r="J95" s="8">
        <f>H95</f>
        <v>73.989999999999995</v>
      </c>
    </row>
    <row r="96" spans="1:10" x14ac:dyDescent="0.35">
      <c r="A96" s="7">
        <v>84</v>
      </c>
      <c r="B96" s="6" t="s">
        <v>109</v>
      </c>
      <c r="C96" s="7" t="s">
        <v>15</v>
      </c>
      <c r="D96" s="8">
        <v>-0.12</v>
      </c>
      <c r="E96" s="7" t="s">
        <v>15</v>
      </c>
      <c r="F96" s="8">
        <f>D96</f>
        <v>-0.12</v>
      </c>
      <c r="G96" s="7" t="s">
        <v>15</v>
      </c>
      <c r="H96" s="8">
        <v>-0.12</v>
      </c>
      <c r="I96" s="7" t="s">
        <v>15</v>
      </c>
      <c r="J96" s="8">
        <f>H96</f>
        <v>-0.12</v>
      </c>
    </row>
    <row r="97" spans="1:10" x14ac:dyDescent="0.35">
      <c r="A97" s="7">
        <v>85</v>
      </c>
      <c r="B97" s="6" t="s">
        <v>110</v>
      </c>
      <c r="C97" s="7" t="s">
        <v>90</v>
      </c>
      <c r="D97" s="8">
        <v>7.6</v>
      </c>
      <c r="E97" s="7" t="s">
        <v>90</v>
      </c>
      <c r="F97" s="8" cm="1">
        <f t="array" ref="F97">_xlfn.IFS(C97="kPa (a)",D97,C97="kPa (g)",D97+$F$6/100)</f>
        <v>7.6</v>
      </c>
      <c r="G97" s="7" t="s">
        <v>90</v>
      </c>
      <c r="H97" s="8">
        <v>7.6</v>
      </c>
      <c r="I97" s="7" t="s">
        <v>90</v>
      </c>
      <c r="J97" s="8" cm="1">
        <f t="array" ref="J97">_xlfn.IFS(G97="kPa (a)",H97,G97="kPa (g)",H97+J24/100)</f>
        <v>7.6</v>
      </c>
    </row>
    <row r="98" spans="1:10" x14ac:dyDescent="0.35">
      <c r="A98" s="7"/>
      <c r="B98" s="5" t="s">
        <v>111</v>
      </c>
      <c r="C98" s="7"/>
      <c r="D98" s="8"/>
      <c r="E98" s="7"/>
      <c r="F98" s="8"/>
      <c r="G98" s="7"/>
      <c r="H98" s="8"/>
      <c r="I98" s="7"/>
      <c r="J98" s="8"/>
    </row>
    <row r="99" spans="1:10" x14ac:dyDescent="0.35">
      <c r="A99" s="7">
        <v>86</v>
      </c>
      <c r="B99" s="6" t="s">
        <v>112</v>
      </c>
      <c r="C99" s="7" t="s">
        <v>53</v>
      </c>
      <c r="D99" s="8">
        <v>35.42</v>
      </c>
      <c r="E99" s="7" t="s">
        <v>53</v>
      </c>
      <c r="F99" s="8">
        <f>D99</f>
        <v>35.42</v>
      </c>
      <c r="G99" s="7" t="s">
        <v>53</v>
      </c>
      <c r="H99" s="8">
        <v>35.42</v>
      </c>
      <c r="I99" s="7" t="s">
        <v>53</v>
      </c>
      <c r="J99" s="8">
        <f>H99</f>
        <v>35.42</v>
      </c>
    </row>
    <row r="100" spans="1:10" x14ac:dyDescent="0.35">
      <c r="A100" s="7">
        <v>87</v>
      </c>
      <c r="B100" s="6" t="s">
        <v>113</v>
      </c>
      <c r="C100" s="7" t="s">
        <v>53</v>
      </c>
      <c r="D100" s="8">
        <v>34.97</v>
      </c>
      <c r="E100" s="7" t="s">
        <v>53</v>
      </c>
      <c r="F100" s="8">
        <f t="shared" ref="F100:F104" si="16">D100</f>
        <v>34.97</v>
      </c>
      <c r="G100" s="7" t="s">
        <v>53</v>
      </c>
      <c r="H100" s="8">
        <v>34.97</v>
      </c>
      <c r="I100" s="7" t="s">
        <v>53</v>
      </c>
      <c r="J100" s="8">
        <f t="shared" ref="J100:J104" si="17">H100</f>
        <v>34.97</v>
      </c>
    </row>
    <row r="101" spans="1:10" x14ac:dyDescent="0.35">
      <c r="A101" s="7">
        <v>88</v>
      </c>
      <c r="B101" s="6" t="s">
        <v>114</v>
      </c>
      <c r="C101" s="7" t="s">
        <v>15</v>
      </c>
      <c r="D101" s="8">
        <v>35.520000000000003</v>
      </c>
      <c r="E101" s="7" t="s">
        <v>15</v>
      </c>
      <c r="F101" s="8">
        <f t="shared" si="16"/>
        <v>35.520000000000003</v>
      </c>
      <c r="G101" s="7" t="s">
        <v>15</v>
      </c>
      <c r="H101" s="8">
        <v>35.520000000000003</v>
      </c>
      <c r="I101" s="7" t="s">
        <v>15</v>
      </c>
      <c r="J101" s="8">
        <f t="shared" si="17"/>
        <v>35.520000000000003</v>
      </c>
    </row>
    <row r="102" spans="1:10" x14ac:dyDescent="0.35">
      <c r="A102" s="7">
        <v>89</v>
      </c>
      <c r="B102" s="6" t="s">
        <v>115</v>
      </c>
      <c r="C102" s="7" t="s">
        <v>15</v>
      </c>
      <c r="D102" s="8">
        <v>39.15</v>
      </c>
      <c r="E102" s="7" t="s">
        <v>15</v>
      </c>
      <c r="F102" s="8">
        <f t="shared" si="16"/>
        <v>39.15</v>
      </c>
      <c r="G102" s="7" t="s">
        <v>15</v>
      </c>
      <c r="H102" s="8">
        <v>39.15</v>
      </c>
      <c r="I102" s="7" t="s">
        <v>15</v>
      </c>
      <c r="J102" s="8">
        <f t="shared" si="17"/>
        <v>39.15</v>
      </c>
    </row>
    <row r="103" spans="1:10" x14ac:dyDescent="0.35">
      <c r="A103" s="7">
        <v>90</v>
      </c>
      <c r="B103" s="6" t="s">
        <v>116</v>
      </c>
      <c r="C103" s="7" t="s">
        <v>13</v>
      </c>
      <c r="D103" s="8">
        <v>29.04</v>
      </c>
      <c r="E103" s="7" t="s">
        <v>13</v>
      </c>
      <c r="F103" s="8">
        <f t="shared" si="16"/>
        <v>29.04</v>
      </c>
      <c r="G103" s="7" t="s">
        <v>13</v>
      </c>
      <c r="H103" s="8">
        <v>29.04</v>
      </c>
      <c r="I103" s="7" t="s">
        <v>13</v>
      </c>
      <c r="J103" s="8">
        <f t="shared" si="17"/>
        <v>29.04</v>
      </c>
    </row>
    <row r="104" spans="1:10" x14ac:dyDescent="0.35">
      <c r="A104" s="7">
        <v>91</v>
      </c>
      <c r="B104" s="6" t="s">
        <v>117</v>
      </c>
      <c r="C104" s="7" t="s">
        <v>13</v>
      </c>
      <c r="D104" s="8">
        <v>29.98</v>
      </c>
      <c r="E104" s="7" t="s">
        <v>13</v>
      </c>
      <c r="F104" s="8">
        <f t="shared" si="16"/>
        <v>29.98</v>
      </c>
      <c r="G104" s="7" t="s">
        <v>13</v>
      </c>
      <c r="H104" s="8">
        <v>29.98</v>
      </c>
      <c r="I104" s="7" t="s">
        <v>13</v>
      </c>
      <c r="J104" s="8">
        <f t="shared" si="17"/>
        <v>29.98</v>
      </c>
    </row>
    <row r="105" spans="1:10" x14ac:dyDescent="0.35">
      <c r="A105" s="7">
        <v>92</v>
      </c>
      <c r="B105" s="6" t="s">
        <v>118</v>
      </c>
      <c r="C105" s="7" t="s">
        <v>90</v>
      </c>
      <c r="D105" s="8">
        <v>1.52</v>
      </c>
      <c r="E105" s="7" t="s">
        <v>90</v>
      </c>
      <c r="F105" s="8" cm="1">
        <f t="array" ref="F105">_xlfn.IFS(C105="kPa (a)",D105,C105="kPa (g)",D105+$F$6/100)</f>
        <v>1.52</v>
      </c>
      <c r="G105" s="7" t="s">
        <v>90</v>
      </c>
      <c r="H105" s="8">
        <v>1.52</v>
      </c>
      <c r="I105" s="7" t="s">
        <v>90</v>
      </c>
      <c r="J105" s="8" cm="1">
        <f t="array" ref="J105">_xlfn.IFS(G105="kPa (a)",H105,G105="kPa (g)",H105+J32/100)</f>
        <v>1.52</v>
      </c>
    </row>
    <row r="106" spans="1:10" x14ac:dyDescent="0.35">
      <c r="A106" s="7">
        <v>93</v>
      </c>
      <c r="B106" s="6" t="s">
        <v>119</v>
      </c>
      <c r="C106" s="7" t="s">
        <v>90</v>
      </c>
      <c r="D106" s="8">
        <v>1.53</v>
      </c>
      <c r="E106" s="7" t="s">
        <v>90</v>
      </c>
      <c r="F106" s="8" cm="1">
        <f t="array" ref="F106">_xlfn.IFS(C106="kPa (a)",D106,C106="kPa (g)",D106+$F$6/100)</f>
        <v>1.53</v>
      </c>
      <c r="G106" s="7" t="s">
        <v>90</v>
      </c>
      <c r="H106" s="8">
        <v>1.53</v>
      </c>
      <c r="I106" s="7" t="s">
        <v>90</v>
      </c>
      <c r="J106" s="8" cm="1">
        <f t="array" ref="J106">_xlfn.IFS(G106="kPa (a)",H106,G106="kPa (g)",H106+J33/100)</f>
        <v>1.53</v>
      </c>
    </row>
    <row r="107" spans="1:10" x14ac:dyDescent="0.35">
      <c r="A107" s="7">
        <v>94</v>
      </c>
      <c r="B107" s="6" t="s">
        <v>120</v>
      </c>
      <c r="C107" s="7" t="s">
        <v>53</v>
      </c>
      <c r="D107" s="8">
        <v>90.29</v>
      </c>
      <c r="E107" s="7" t="s">
        <v>53</v>
      </c>
      <c r="F107" s="8">
        <f t="shared" ref="F107:F108" si="18">D107</f>
        <v>90.29</v>
      </c>
      <c r="G107" s="7" t="s">
        <v>53</v>
      </c>
      <c r="H107" s="8">
        <v>90.29</v>
      </c>
      <c r="I107" s="7" t="s">
        <v>53</v>
      </c>
      <c r="J107" s="8">
        <f t="shared" ref="J107:J108" si="19">H107</f>
        <v>90.29</v>
      </c>
    </row>
    <row r="108" spans="1:10" x14ac:dyDescent="0.35">
      <c r="A108" s="7">
        <v>95</v>
      </c>
      <c r="B108" s="6" t="s">
        <v>121</v>
      </c>
      <c r="C108" s="7" t="s">
        <v>53</v>
      </c>
      <c r="D108" s="8">
        <v>92.55</v>
      </c>
      <c r="E108" s="7" t="s">
        <v>53</v>
      </c>
      <c r="F108" s="8">
        <f t="shared" si="18"/>
        <v>92.55</v>
      </c>
      <c r="G108" s="7" t="s">
        <v>53</v>
      </c>
      <c r="H108" s="8">
        <v>92.55</v>
      </c>
      <c r="I108" s="7" t="s">
        <v>53</v>
      </c>
      <c r="J108" s="8">
        <f t="shared" si="19"/>
        <v>92.55</v>
      </c>
    </row>
    <row r="109" spans="1:10" x14ac:dyDescent="0.35">
      <c r="A109" s="7">
        <v>96</v>
      </c>
      <c r="B109" s="6" t="s">
        <v>122</v>
      </c>
      <c r="C109" s="7" t="s">
        <v>90</v>
      </c>
      <c r="D109" s="8">
        <v>-2.2799999999999998</v>
      </c>
      <c r="E109" s="7" t="s">
        <v>90</v>
      </c>
      <c r="F109" s="8" cm="1">
        <f t="array" ref="F109">_xlfn.IFS(C109="kPa (a)",D109,C109="kPa (g)",D109+$F$6/100)</f>
        <v>-2.2799999999999998</v>
      </c>
      <c r="G109" s="7" t="s">
        <v>90</v>
      </c>
      <c r="H109" s="8">
        <v>-2.2799999999999998</v>
      </c>
      <c r="I109" s="7" t="s">
        <v>90</v>
      </c>
      <c r="J109" s="8" cm="1">
        <f t="array" ref="J109">_xlfn.IFS(G109="kPa (a)",H109,G109="kPa (g)",H109+J36/100)</f>
        <v>-2.2799999999999998</v>
      </c>
    </row>
    <row r="110" spans="1:10" x14ac:dyDescent="0.35">
      <c r="A110" s="7">
        <v>97</v>
      </c>
      <c r="B110" s="6" t="s">
        <v>123</v>
      </c>
      <c r="C110" s="7" t="s">
        <v>90</v>
      </c>
      <c r="D110" s="8">
        <v>-2.4</v>
      </c>
      <c r="E110" s="7" t="s">
        <v>90</v>
      </c>
      <c r="F110" s="8" cm="1">
        <f t="array" ref="F110">_xlfn.IFS(C110="kPa (a)",D110,C110="kPa (g)",D110+$F$6/100)</f>
        <v>-2.4</v>
      </c>
      <c r="G110" s="7" t="s">
        <v>90</v>
      </c>
      <c r="H110" s="8">
        <v>-2.4</v>
      </c>
      <c r="I110" s="7" t="s">
        <v>90</v>
      </c>
      <c r="J110" s="8" cm="1">
        <f t="array" ref="J110">_xlfn.IFS(G110="kPa (a)",H110,G110="kPa (g)",H110+J37/100)</f>
        <v>-2.4</v>
      </c>
    </row>
    <row r="111" spans="1:10" x14ac:dyDescent="0.35">
      <c r="A111" s="7">
        <v>98</v>
      </c>
      <c r="B111" s="6" t="s">
        <v>124</v>
      </c>
      <c r="C111" s="7" t="s">
        <v>13</v>
      </c>
      <c r="D111" s="8">
        <v>131.66999999999999</v>
      </c>
      <c r="E111" s="7" t="s">
        <v>13</v>
      </c>
      <c r="F111" s="8">
        <f>D111</f>
        <v>131.66999999999999</v>
      </c>
      <c r="G111" s="7" t="s">
        <v>13</v>
      </c>
      <c r="H111" s="8">
        <v>131.66999999999999</v>
      </c>
      <c r="I111" s="7" t="s">
        <v>13</v>
      </c>
      <c r="J111" s="8">
        <f>H111</f>
        <v>131.66999999999999</v>
      </c>
    </row>
    <row r="112" spans="1:10" x14ac:dyDescent="0.35">
      <c r="A112" s="7">
        <v>99</v>
      </c>
      <c r="B112" s="6" t="s">
        <v>125</v>
      </c>
      <c r="C112" s="7" t="s">
        <v>13</v>
      </c>
      <c r="D112" s="8">
        <v>132.26</v>
      </c>
      <c r="E112" s="7" t="s">
        <v>13</v>
      </c>
      <c r="F112" s="8">
        <f t="shared" ref="F112:F116" si="20">D112</f>
        <v>132.26</v>
      </c>
      <c r="G112" s="7" t="s">
        <v>13</v>
      </c>
      <c r="H112" s="8">
        <v>132.26</v>
      </c>
      <c r="I112" s="7" t="s">
        <v>13</v>
      </c>
      <c r="J112" s="8">
        <f t="shared" ref="J112:J116" si="21">H112</f>
        <v>132.26</v>
      </c>
    </row>
    <row r="113" spans="1:10" x14ac:dyDescent="0.35">
      <c r="A113" s="7">
        <v>100</v>
      </c>
      <c r="B113" s="6" t="s">
        <v>126</v>
      </c>
      <c r="C113" s="7" t="s">
        <v>15</v>
      </c>
      <c r="D113" s="8" t="s">
        <v>127</v>
      </c>
      <c r="E113" s="7" t="s">
        <v>15</v>
      </c>
      <c r="F113" s="8" t="str">
        <f t="shared" si="20"/>
        <v>-2.41 B</v>
      </c>
      <c r="G113" s="7" t="s">
        <v>15</v>
      </c>
      <c r="H113" s="8" t="s">
        <v>127</v>
      </c>
      <c r="I113" s="7" t="s">
        <v>15</v>
      </c>
      <c r="J113" s="8" t="str">
        <f t="shared" si="21"/>
        <v>-2.41 B</v>
      </c>
    </row>
    <row r="114" spans="1:10" x14ac:dyDescent="0.35">
      <c r="A114" s="7">
        <v>101</v>
      </c>
      <c r="B114" s="6" t="s">
        <v>128</v>
      </c>
      <c r="C114" s="7" t="s">
        <v>15</v>
      </c>
      <c r="D114" s="8" t="s">
        <v>129</v>
      </c>
      <c r="E114" s="7" t="s">
        <v>15</v>
      </c>
      <c r="F114" s="8" t="str">
        <f t="shared" si="20"/>
        <v>0.45 B</v>
      </c>
      <c r="G114" s="7" t="s">
        <v>15</v>
      </c>
      <c r="H114" s="8" t="s">
        <v>129</v>
      </c>
      <c r="I114" s="7" t="s">
        <v>15</v>
      </c>
      <c r="J114" s="8" t="str">
        <f t="shared" si="21"/>
        <v>0.45 B</v>
      </c>
    </row>
    <row r="115" spans="1:10" x14ac:dyDescent="0.35">
      <c r="A115" s="7">
        <v>102</v>
      </c>
      <c r="B115" s="6" t="s">
        <v>130</v>
      </c>
      <c r="C115" s="7" t="s">
        <v>131</v>
      </c>
      <c r="D115" s="8">
        <v>551.94000000000005</v>
      </c>
      <c r="E115" s="7" t="s">
        <v>131</v>
      </c>
      <c r="F115" s="8">
        <f>D115</f>
        <v>551.94000000000005</v>
      </c>
      <c r="G115" s="7" t="s">
        <v>131</v>
      </c>
      <c r="H115" s="8">
        <v>551.94000000000005</v>
      </c>
      <c r="I115" s="7" t="s">
        <v>131</v>
      </c>
      <c r="J115" s="8">
        <f>H115</f>
        <v>551.94000000000005</v>
      </c>
    </row>
    <row r="116" spans="1:10" x14ac:dyDescent="0.35">
      <c r="A116" s="7">
        <v>103</v>
      </c>
      <c r="B116" s="6" t="s">
        <v>132</v>
      </c>
      <c r="C116" s="7" t="s">
        <v>131</v>
      </c>
      <c r="D116" s="8">
        <v>551.23</v>
      </c>
      <c r="E116" s="7" t="s">
        <v>131</v>
      </c>
      <c r="F116" s="8">
        <f t="shared" si="20"/>
        <v>551.23</v>
      </c>
      <c r="G116" s="7" t="s">
        <v>131</v>
      </c>
      <c r="H116" s="8">
        <v>551.23</v>
      </c>
      <c r="I116" s="7" t="s">
        <v>131</v>
      </c>
      <c r="J116" s="8">
        <f t="shared" si="21"/>
        <v>551.23</v>
      </c>
    </row>
    <row r="117" spans="1:10" x14ac:dyDescent="0.35">
      <c r="A117" s="7">
        <v>104</v>
      </c>
      <c r="B117" s="6" t="s">
        <v>133</v>
      </c>
      <c r="C117" s="7" t="s">
        <v>90</v>
      </c>
      <c r="D117" s="8">
        <v>-0.03</v>
      </c>
      <c r="E117" s="7" t="s">
        <v>90</v>
      </c>
      <c r="F117" s="8" cm="1">
        <f t="array" ref="F117">_xlfn.IFS(C117="kPa (a)",D117,C117="kPa (g)",D117+$F$6/100)</f>
        <v>-0.03</v>
      </c>
      <c r="G117" s="7" t="s">
        <v>90</v>
      </c>
      <c r="H117" s="8">
        <v>-0.03</v>
      </c>
      <c r="I117" s="7" t="s">
        <v>90</v>
      </c>
      <c r="J117" s="8" cm="1">
        <f t="array" ref="J117">_xlfn.IFS(G117="kPa (a)",H117,G117="kPa (g)",H117+J44/100)</f>
        <v>-0.03</v>
      </c>
    </row>
    <row r="118" spans="1:10" x14ac:dyDescent="0.35">
      <c r="A118" s="7">
        <v>105</v>
      </c>
      <c r="B118" s="6" t="s">
        <v>134</v>
      </c>
      <c r="C118" s="7" t="s">
        <v>90</v>
      </c>
      <c r="D118" s="8">
        <v>0.01</v>
      </c>
      <c r="E118" s="7" t="s">
        <v>90</v>
      </c>
      <c r="F118" s="8" cm="1">
        <f t="array" ref="F118">_xlfn.IFS(C118="kPa (a)",D118,C118="kPa (g)",D118+$F$6/100)</f>
        <v>0.01</v>
      </c>
      <c r="G118" s="7" t="s">
        <v>90</v>
      </c>
      <c r="H118" s="8">
        <v>0.01</v>
      </c>
      <c r="I118" s="7" t="s">
        <v>90</v>
      </c>
      <c r="J118" s="8" cm="1">
        <f t="array" ref="J118">_xlfn.IFS(G118="kPa (a)",H118,G118="kPa (g)",H118+J45/100)</f>
        <v>0.01</v>
      </c>
    </row>
    <row r="119" spans="1:10" x14ac:dyDescent="0.35">
      <c r="A119" s="7">
        <v>106</v>
      </c>
      <c r="B119" s="6" t="s">
        <v>135</v>
      </c>
      <c r="C119" s="7" t="s">
        <v>53</v>
      </c>
      <c r="D119" s="8">
        <v>79.459999999999994</v>
      </c>
      <c r="E119" s="7" t="s">
        <v>53</v>
      </c>
      <c r="F119" s="8">
        <f>D119</f>
        <v>79.459999999999994</v>
      </c>
      <c r="G119" s="7" t="s">
        <v>53</v>
      </c>
      <c r="H119" s="8">
        <v>79.459999999999994</v>
      </c>
      <c r="I119" s="7" t="s">
        <v>53</v>
      </c>
      <c r="J119" s="8">
        <f>H119</f>
        <v>79.459999999999994</v>
      </c>
    </row>
    <row r="120" spans="1:10" x14ac:dyDescent="0.35">
      <c r="A120" s="7">
        <v>107</v>
      </c>
      <c r="B120" s="6" t="s">
        <v>136</v>
      </c>
      <c r="C120" s="7" t="s">
        <v>53</v>
      </c>
      <c r="D120" s="8">
        <v>66.92</v>
      </c>
      <c r="E120" s="7" t="s">
        <v>53</v>
      </c>
      <c r="F120" s="8">
        <f t="shared" ref="F120:F124" si="22">D120</f>
        <v>66.92</v>
      </c>
      <c r="G120" s="7" t="s">
        <v>53</v>
      </c>
      <c r="H120" s="8">
        <v>66.92</v>
      </c>
      <c r="I120" s="7" t="s">
        <v>53</v>
      </c>
      <c r="J120" s="8">
        <f t="shared" ref="J120:J124" si="23">H120</f>
        <v>66.92</v>
      </c>
    </row>
    <row r="121" spans="1:10" x14ac:dyDescent="0.35">
      <c r="A121" s="7">
        <v>108</v>
      </c>
      <c r="B121" s="6" t="s">
        <v>137</v>
      </c>
      <c r="C121" s="7" t="s">
        <v>15</v>
      </c>
      <c r="D121" s="8">
        <v>48.2</v>
      </c>
      <c r="E121" s="7" t="s">
        <v>15</v>
      </c>
      <c r="F121" s="8">
        <f t="shared" si="22"/>
        <v>48.2</v>
      </c>
      <c r="G121" s="7" t="s">
        <v>15</v>
      </c>
      <c r="H121" s="8">
        <v>48.2</v>
      </c>
      <c r="I121" s="7" t="s">
        <v>15</v>
      </c>
      <c r="J121" s="8">
        <f t="shared" si="23"/>
        <v>48.2</v>
      </c>
    </row>
    <row r="122" spans="1:10" x14ac:dyDescent="0.35">
      <c r="A122" s="7">
        <v>109</v>
      </c>
      <c r="B122" s="6" t="s">
        <v>138</v>
      </c>
      <c r="C122" s="7" t="s">
        <v>15</v>
      </c>
      <c r="D122" s="8">
        <v>40.97</v>
      </c>
      <c r="E122" s="7" t="s">
        <v>15</v>
      </c>
      <c r="F122" s="8">
        <f t="shared" si="22"/>
        <v>40.97</v>
      </c>
      <c r="G122" s="7" t="s">
        <v>15</v>
      </c>
      <c r="H122" s="8">
        <v>40.97</v>
      </c>
      <c r="I122" s="7" t="s">
        <v>15</v>
      </c>
      <c r="J122" s="8">
        <f t="shared" si="23"/>
        <v>40.97</v>
      </c>
    </row>
    <row r="123" spans="1:10" x14ac:dyDescent="0.35">
      <c r="A123" s="7">
        <v>110</v>
      </c>
      <c r="B123" s="6" t="s">
        <v>139</v>
      </c>
      <c r="C123" s="7" t="s">
        <v>131</v>
      </c>
      <c r="D123" s="8">
        <v>1102</v>
      </c>
      <c r="E123" s="7" t="s">
        <v>131</v>
      </c>
      <c r="F123" s="8">
        <f t="shared" si="22"/>
        <v>1102</v>
      </c>
      <c r="G123" s="7" t="s">
        <v>131</v>
      </c>
      <c r="H123" s="8">
        <v>1102</v>
      </c>
      <c r="I123" s="7" t="s">
        <v>131</v>
      </c>
      <c r="J123" s="8">
        <f t="shared" si="23"/>
        <v>1102</v>
      </c>
    </row>
    <row r="124" spans="1:10" x14ac:dyDescent="0.35">
      <c r="A124" s="7">
        <v>111</v>
      </c>
      <c r="B124" s="6" t="s">
        <v>140</v>
      </c>
      <c r="C124" s="7" t="s">
        <v>131</v>
      </c>
      <c r="D124" s="8">
        <v>1022.14</v>
      </c>
      <c r="E124" s="7" t="s">
        <v>131</v>
      </c>
      <c r="F124" s="8">
        <f t="shared" si="22"/>
        <v>1022.14</v>
      </c>
      <c r="G124" s="7" t="s">
        <v>131</v>
      </c>
      <c r="H124" s="8">
        <v>1022.14</v>
      </c>
      <c r="I124" s="7" t="s">
        <v>131</v>
      </c>
      <c r="J124" s="8">
        <f t="shared" si="23"/>
        <v>1022.14</v>
      </c>
    </row>
    <row r="125" spans="1:10" x14ac:dyDescent="0.35">
      <c r="A125" s="7">
        <v>112</v>
      </c>
      <c r="B125" s="6" t="s">
        <v>141</v>
      </c>
      <c r="C125" s="7" t="s">
        <v>90</v>
      </c>
      <c r="D125" s="8">
        <v>8.5500000000000007</v>
      </c>
      <c r="E125" s="7" t="s">
        <v>90</v>
      </c>
      <c r="F125" s="8" cm="1">
        <f t="array" ref="F125">_xlfn.IFS(C125="kPa (a)",D125,C125="kPa (g)",D125+$F$6/100)</f>
        <v>8.5500000000000007</v>
      </c>
      <c r="G125" s="7" t="s">
        <v>90</v>
      </c>
      <c r="H125" s="8">
        <v>8.5500000000000007</v>
      </c>
      <c r="I125" s="7" t="s">
        <v>90</v>
      </c>
      <c r="J125" s="8" cm="1">
        <f t="array" ref="J125">_xlfn.IFS(G125="kPa (a)",H125,G125="kPa (g)",H125+J52/100)</f>
        <v>8.5500000000000007</v>
      </c>
    </row>
    <row r="126" spans="1:10" x14ac:dyDescent="0.35">
      <c r="A126" s="7">
        <v>113</v>
      </c>
      <c r="B126" s="6" t="s">
        <v>142</v>
      </c>
      <c r="C126" s="7" t="s">
        <v>90</v>
      </c>
      <c r="D126" s="8">
        <v>8.32</v>
      </c>
      <c r="E126" s="7" t="s">
        <v>90</v>
      </c>
      <c r="F126" s="8" cm="1">
        <f t="array" ref="F126">_xlfn.IFS(C126="kPa (a)",D126,C126="kPa (g)",D126+$F$6/100)</f>
        <v>8.32</v>
      </c>
      <c r="G126" s="7" t="s">
        <v>90</v>
      </c>
      <c r="H126" s="8">
        <v>8.32</v>
      </c>
      <c r="I126" s="7" t="s">
        <v>90</v>
      </c>
      <c r="J126" s="8" cm="1">
        <f t="array" ref="J126">_xlfn.IFS(G126="kPa (a)",H126,G126="kPa (g)",H126+J53/100)</f>
        <v>8.32</v>
      </c>
    </row>
    <row r="127" spans="1:10" x14ac:dyDescent="0.35">
      <c r="A127" s="7">
        <v>114</v>
      </c>
      <c r="B127" s="6" t="s">
        <v>143</v>
      </c>
      <c r="C127" s="7" t="s">
        <v>53</v>
      </c>
      <c r="D127" s="8">
        <v>138.12</v>
      </c>
      <c r="E127" s="7" t="s">
        <v>53</v>
      </c>
      <c r="F127" s="8">
        <f t="shared" ref="F127:F134" si="24">D127</f>
        <v>138.12</v>
      </c>
      <c r="G127" s="7" t="s">
        <v>53</v>
      </c>
      <c r="H127" s="8">
        <v>138.12</v>
      </c>
      <c r="I127" s="7" t="s">
        <v>53</v>
      </c>
      <c r="J127" s="8">
        <f t="shared" ref="J127:J134" si="25">H127</f>
        <v>138.12</v>
      </c>
    </row>
    <row r="128" spans="1:10" x14ac:dyDescent="0.35">
      <c r="A128" s="7">
        <v>115</v>
      </c>
      <c r="B128" s="6" t="s">
        <v>144</v>
      </c>
      <c r="C128" s="7" t="s">
        <v>53</v>
      </c>
      <c r="D128" s="8">
        <v>141.75</v>
      </c>
      <c r="E128" s="7" t="s">
        <v>53</v>
      </c>
      <c r="F128" s="8">
        <f t="shared" si="24"/>
        <v>141.75</v>
      </c>
      <c r="G128" s="7" t="s">
        <v>53</v>
      </c>
      <c r="H128" s="8">
        <v>141.75</v>
      </c>
      <c r="I128" s="7" t="s">
        <v>53</v>
      </c>
      <c r="J128" s="8">
        <f t="shared" si="25"/>
        <v>141.75</v>
      </c>
    </row>
    <row r="129" spans="1:10" x14ac:dyDescent="0.35">
      <c r="A129" s="7"/>
      <c r="B129" s="5" t="s">
        <v>145</v>
      </c>
      <c r="C129" s="7"/>
      <c r="D129" s="8"/>
      <c r="E129" s="7"/>
      <c r="F129" s="8"/>
      <c r="G129" s="7"/>
      <c r="H129" s="8"/>
      <c r="I129" s="7"/>
      <c r="J129" s="8"/>
    </row>
    <row r="130" spans="1:10" x14ac:dyDescent="0.35">
      <c r="A130" s="7">
        <v>116</v>
      </c>
      <c r="B130" s="6" t="s">
        <v>146</v>
      </c>
      <c r="C130" s="7"/>
      <c r="D130" s="8" t="s">
        <v>147</v>
      </c>
      <c r="E130" s="7"/>
      <c r="F130" s="8" t="str">
        <f t="shared" si="24"/>
        <v>3.49 B</v>
      </c>
      <c r="G130" s="7"/>
      <c r="H130" s="8" t="s">
        <v>147</v>
      </c>
      <c r="I130" s="7"/>
      <c r="J130" s="8" t="str">
        <f t="shared" si="25"/>
        <v>3.49 B</v>
      </c>
    </row>
    <row r="131" spans="1:10" x14ac:dyDescent="0.35">
      <c r="A131" s="7">
        <v>117</v>
      </c>
      <c r="B131" s="6" t="s">
        <v>148</v>
      </c>
      <c r="C131" s="7"/>
      <c r="D131" s="8">
        <v>328.98</v>
      </c>
      <c r="E131" s="7"/>
      <c r="F131" s="8">
        <f t="shared" si="24"/>
        <v>328.98</v>
      </c>
      <c r="G131" s="7"/>
      <c r="H131" s="8">
        <v>328.98</v>
      </c>
      <c r="I131" s="7"/>
      <c r="J131" s="8">
        <f t="shared" si="25"/>
        <v>328.98</v>
      </c>
    </row>
    <row r="132" spans="1:10" x14ac:dyDescent="0.35">
      <c r="A132" s="7">
        <v>118</v>
      </c>
      <c r="B132" s="6" t="s">
        <v>149</v>
      </c>
      <c r="C132" s="7"/>
      <c r="D132" s="8">
        <v>530.58000000000004</v>
      </c>
      <c r="E132" s="7"/>
      <c r="F132" s="8">
        <f t="shared" si="24"/>
        <v>530.58000000000004</v>
      </c>
      <c r="G132" s="7"/>
      <c r="H132" s="8">
        <v>530.58000000000004</v>
      </c>
      <c r="I132" s="7"/>
      <c r="J132" s="8">
        <f t="shared" si="25"/>
        <v>530.58000000000004</v>
      </c>
    </row>
    <row r="133" spans="1:10" x14ac:dyDescent="0.35">
      <c r="A133" s="7">
        <v>119</v>
      </c>
      <c r="B133" s="6" t="s">
        <v>150</v>
      </c>
      <c r="C133" s="7"/>
      <c r="D133" s="8" t="s">
        <v>151</v>
      </c>
      <c r="E133" s="7"/>
      <c r="F133" s="8" t="str">
        <f t="shared" si="24"/>
        <v>-1.16 B</v>
      </c>
      <c r="G133" s="7"/>
      <c r="H133" s="8" t="s">
        <v>151</v>
      </c>
      <c r="I133" s="7"/>
      <c r="J133" s="8" t="str">
        <f t="shared" si="25"/>
        <v>-1.16 B</v>
      </c>
    </row>
    <row r="134" spans="1:10" x14ac:dyDescent="0.35">
      <c r="A134" s="7">
        <v>120</v>
      </c>
      <c r="B134" s="6" t="s">
        <v>152</v>
      </c>
      <c r="C134" s="7" t="s">
        <v>15</v>
      </c>
      <c r="D134" s="8">
        <v>0.94</v>
      </c>
      <c r="E134" s="7" t="s">
        <v>15</v>
      </c>
      <c r="F134" s="8">
        <f t="shared" si="24"/>
        <v>0.94</v>
      </c>
      <c r="G134" s="7" t="s">
        <v>15</v>
      </c>
      <c r="H134" s="8">
        <v>0.94</v>
      </c>
      <c r="I134" s="7" t="s">
        <v>15</v>
      </c>
      <c r="J134" s="8">
        <f t="shared" si="25"/>
        <v>0.94</v>
      </c>
    </row>
  </sheetData>
  <dataValidations count="2">
    <dataValidation type="list" allowBlank="1" showInputMessage="1" showErrorMessage="1" sqref="G77:G88 G97 G105:G106 G109:G110 G117:G118 G125:G126 C77:C88 C97 C105:C106 C109:C110 C117:C118 C125:C126" xr:uid="{FEE29577-A824-458C-B3C9-059AB57EB28C}">
      <formula1>$P$6:$P$20</formula1>
    </dataValidation>
    <dataValidation type="list" allowBlank="1" showInputMessage="1" showErrorMessage="1" sqref="C24:C30 G1:G2 G127:G128 G41:G59 G32:G39 G14:G22 G9:G12 G61:G76 G89:G96 G99:G104 G107:G108 G119:G124 G24:G30 C111:C116 C127:C128 C41:C59 C32:C39 C14:C22 C9:C12 C1:C2 C119:C124 C61:C76 C89:C96 C99:C104 C107:C108 G111:G116 I1:I2 E2" xr:uid="{17A43E4E-833B-41A8-A609-EC68112A46E5}">
      <formula1>$P$6:$P$18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Bobbili Bharadwaj</dc:creator>
  <cp:lastModifiedBy>Bobbili Bharadwaj</cp:lastModifiedBy>
  <dcterms:created xsi:type="dcterms:W3CDTF">2025-07-09T06:03:16Z</dcterms:created>
  <dcterms:modified xsi:type="dcterms:W3CDTF">2025-07-09T06:03:33Z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51ac48-f2ec-47d6-b214-43b916e392ff_Enabled">
    <vt:lpwstr>true</vt:lpwstr>
  </property>
  <property fmtid="{D5CDD505-2E9C-101B-9397-08002B2CF9AE}" pid="3" name="MSIP_Label_3351ac48-f2ec-47d6-b214-43b916e392ff_SetDate">
    <vt:lpwstr>2025-07-09T06:03:21Z</vt:lpwstr>
  </property>
  <property fmtid="{D5CDD505-2E9C-101B-9397-08002B2CF9AE}" pid="4" name="MSIP_Label_3351ac48-f2ec-47d6-b214-43b916e392ff_Method">
    <vt:lpwstr>Standard</vt:lpwstr>
  </property>
  <property fmtid="{D5CDD505-2E9C-101B-9397-08002B2CF9AE}" pid="5" name="MSIP_Label_3351ac48-f2ec-47d6-b214-43b916e392ff_Name">
    <vt:lpwstr>3351ac48-f2ec-47d6-b214-43b916e392ff</vt:lpwstr>
  </property>
  <property fmtid="{D5CDD505-2E9C-101B-9397-08002B2CF9AE}" pid="6" name="MSIP_Label_3351ac48-f2ec-47d6-b214-43b916e392ff_SiteId">
    <vt:lpwstr>5af76741-f886-4d20-ad04-775dee0ce762</vt:lpwstr>
  </property>
  <property fmtid="{D5CDD505-2E9C-101B-9397-08002B2CF9AE}" pid="7" name="MSIP_Label_3351ac48-f2ec-47d6-b214-43b916e392ff_ActionId">
    <vt:lpwstr>8301690e-6af8-4d39-b7d8-5d2e309d292e</vt:lpwstr>
  </property>
  <property fmtid="{D5CDD505-2E9C-101B-9397-08002B2CF9AE}" pid="8" name="MSIP_Label_3351ac48-f2ec-47d6-b214-43b916e392ff_ContentBits">
    <vt:lpwstr>0</vt:lpwstr>
  </property>
</Properties>
</file>